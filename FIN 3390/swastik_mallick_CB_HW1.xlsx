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Finance\FIN 3390\"/>
    </mc:Choice>
  </mc:AlternateContent>
  <xr:revisionPtr revIDLastSave="0" documentId="13_ncr:1_{E2B8EFCB-960D-454F-B552-F7D7B66FB2E7}" xr6:coauthVersionLast="47" xr6:coauthVersionMax="47" xr10:uidLastSave="{00000000-0000-0000-0000-000000000000}"/>
  <bookViews>
    <workbookView xWindow="-38505" yWindow="-4305" windowWidth="19410" windowHeight="21705" xr2:uid="{E16854E4-05E9-4352-A850-CAA02B18E50C}"/>
  </bookViews>
  <sheets>
    <sheet name="Sheet1" sheetId="1" r:id="rId1"/>
  </sheets>
  <definedNames>
    <definedName name="solver_adj" localSheetId="0" hidden="1">Sheet1!$F$45:$F$54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Sheet1!$F$45:$F$54</definedName>
    <definedName name="solver_lhs2" localSheetId="0" hidden="1">Sheet1!$G$55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Sheet1!$H$55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1</definedName>
    <definedName name="solver_rhs1" localSheetId="0" hidden="1">"binary"</definedName>
    <definedName name="solver_rhs2" localSheetId="0" hidden="1">5000000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 a="1"/>
  <c r="H45" i="1" s="1"/>
  <c r="H55" i="1" s="1"/>
  <c r="G45" i="1" a="1"/>
  <c r="G45" i="1" s="1"/>
  <c r="G55" i="1" s="1"/>
  <c r="D19" i="1" a="1"/>
  <c r="D19" i="1" s="1"/>
  <c r="D18" i="1" s="1"/>
  <c r="F16" i="1"/>
  <c r="E16" i="1"/>
  <c r="D16" i="1"/>
  <c r="F12" i="1"/>
  <c r="E12" i="1"/>
  <c r="D12" i="1"/>
  <c r="F10" i="1"/>
  <c r="F14" i="1" s="1"/>
  <c r="E10" i="1"/>
  <c r="E14" i="1" s="1"/>
  <c r="D10" i="1"/>
  <c r="D14" i="1" s="1"/>
  <c r="G32" i="1" a="1"/>
  <c r="G32" i="1" s="1"/>
  <c r="G42" i="1" s="1"/>
  <c r="H32" i="1" a="1"/>
  <c r="H32" i="1" s="1"/>
  <c r="H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<sst xmlns="http://schemas.openxmlformats.org/spreadsheetml/2006/main" count="50" uniqueCount="31">
  <si>
    <t>Q1</t>
  </si>
  <si>
    <t>year</t>
  </si>
  <si>
    <t>project A</t>
  </si>
  <si>
    <t>Project B</t>
  </si>
  <si>
    <t>Project C</t>
  </si>
  <si>
    <t>1. (NPV)</t>
  </si>
  <si>
    <t>proj A</t>
  </si>
  <si>
    <t>proj B</t>
  </si>
  <si>
    <t xml:space="preserve">2. (IRR) </t>
  </si>
  <si>
    <t>3. (PI)</t>
  </si>
  <si>
    <t>4. (MIRR)</t>
  </si>
  <si>
    <t>5. (A&amp;B)</t>
  </si>
  <si>
    <t>Project A and B are mutally exclusive and since both are + NPV, I picked the higher NPV (proj A)</t>
  </si>
  <si>
    <t xml:space="preserve">However C can also fit as it is independent </t>
  </si>
  <si>
    <t>Q2</t>
  </si>
  <si>
    <t>Cost</t>
  </si>
  <si>
    <t>NPV</t>
  </si>
  <si>
    <t>Decision</t>
  </si>
  <si>
    <t>Cost * Dec</t>
  </si>
  <si>
    <t>NPV * Dec</t>
  </si>
  <si>
    <t>A</t>
  </si>
  <si>
    <t>B</t>
  </si>
  <si>
    <t>C</t>
  </si>
  <si>
    <t>D</t>
  </si>
  <si>
    <t>Project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</si>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</sst>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4" fontId="0" fillId="0" borderId="0" xfId="0" applyNumberFormat="1"/>
    <xf numFmtId="4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8" fontId="0" fillId="2" borderId="0" xfId="0" applyNumberFormat="1" applyFill="1"/>
    <xf numFmtId="164" fontId="0" fillId="2" borderId="0" xfId="1" applyNumberFormat="1" applyFont="1" applyFill="1"/>
    <xf numFmtId="9" fontId="0" fillId="2" borderId="0" xfId="0" applyNumberFormat="1" applyFill="1"/>
    <xf numFmtId="10" fontId="0" fillId="0" borderId="0" xfId="0" applyNumberFormat="1"/>
    <xf numFmtId="10" fontId="0" fillId="2" borderId="0" xfId="0" applyNumberFormat="1" applyFill="1"/>
    <xf numFmtId="9" fontId="0" fillId="2" borderId="0" xfId="2" applyFont="1" applyFill="1"/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0" fillId="0" borderId="0" xfId="0" applyNumberFormat="1"/>
    <xf numFmtId="3" fontId="4" fillId="0" borderId="4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right" vertical="center"/>
    </xf>
    <xf numFmtId="0" fontId="0" fillId="0" borderId="5" xfId="0" applyBorder="1"/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5" xfId="0" applyFill="1" applyBorder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FFCF-3B61-4E49-B1DC-8457E0238F86}">
  <dimension ref="B2:K55"/>
  <sheetViews>
    <sheetView tabSelected="1" workbookViewId="0">
      <selection activeCell="F45" sqref="F45"/>
    </sheetView>
  </sheetViews>
  <sheetFormatPr defaultRowHeight="14.4" x14ac:dyDescent="0.55000000000000004"/>
  <cols>
    <col min="4" max="4" width="11.3125" bestFit="1" customWidth="1"/>
    <col min="5" max="5" width="10.89453125" customWidth="1"/>
    <col min="6" max="6" width="11.15625" customWidth="1"/>
    <col min="7" max="7" width="13.47265625" bestFit="1" customWidth="1"/>
    <col min="8" max="8" width="11.89453125" bestFit="1" customWidth="1"/>
  </cols>
  <sheetData>
    <row r="2" spans="2:6" ht="14.7" thickBot="1" x14ac:dyDescent="0.6">
      <c r="B2" t="s">
        <v>0</v>
      </c>
    </row>
    <row r="3" spans="2:6" ht="14.7" thickBot="1" x14ac:dyDescent="0.6">
      <c r="B3" s="1" t="s">
        <v>1</v>
      </c>
      <c r="C3" s="2" t="s">
        <v>2</v>
      </c>
      <c r="D3" s="2" t="s">
        <v>3</v>
      </c>
      <c r="E3" s="2" t="s">
        <v>4</v>
      </c>
    </row>
    <row r="4" spans="2:6" ht="14.7" thickBot="1" x14ac:dyDescent="0.6">
      <c r="B4" s="3">
        <v>0</v>
      </c>
      <c r="C4" s="5">
        <v>-60000</v>
      </c>
      <c r="D4" s="5">
        <v>-40000</v>
      </c>
      <c r="E4" s="5">
        <v>-20000</v>
      </c>
    </row>
    <row r="5" spans="2:6" ht="14.7" thickBot="1" x14ac:dyDescent="0.6">
      <c r="B5" s="3">
        <v>1</v>
      </c>
      <c r="C5" s="6">
        <v>0</v>
      </c>
      <c r="D5" s="5">
        <v>40000</v>
      </c>
      <c r="E5" s="5">
        <v>35000</v>
      </c>
    </row>
    <row r="6" spans="2:6" ht="14.7" thickBot="1" x14ac:dyDescent="0.6">
      <c r="B6" s="3">
        <v>2</v>
      </c>
      <c r="C6" s="5">
        <v>82000</v>
      </c>
      <c r="D6" s="5">
        <v>40000</v>
      </c>
      <c r="E6" s="5">
        <v>30000</v>
      </c>
    </row>
    <row r="7" spans="2:6" ht="14.7" thickBot="1" x14ac:dyDescent="0.6">
      <c r="B7" s="3">
        <v>3</v>
      </c>
      <c r="C7" s="5">
        <v>60000</v>
      </c>
      <c r="D7" s="5">
        <v>20000</v>
      </c>
      <c r="E7" s="5">
        <v>2000</v>
      </c>
    </row>
    <row r="8" spans="2:6" ht="14.7" thickBot="1" x14ac:dyDescent="0.6">
      <c r="B8" s="3">
        <v>4</v>
      </c>
      <c r="C8" s="5">
        <v>20000</v>
      </c>
      <c r="D8" s="5">
        <v>10000</v>
      </c>
      <c r="E8" s="5">
        <v>-40000</v>
      </c>
    </row>
    <row r="9" spans="2:6" x14ac:dyDescent="0.55000000000000004">
      <c r="D9" t="s">
        <v>6</v>
      </c>
      <c r="E9" t="s">
        <v>7</v>
      </c>
      <c r="F9" t="s">
        <v>7</v>
      </c>
    </row>
    <row r="10" spans="2:6" x14ac:dyDescent="0.55000000000000004">
      <c r="C10" t="s">
        <v>5</v>
      </c>
      <c r="D10" s="7">
        <f>NPV(12%, C5:C8) + C4</f>
        <v>60787.074396084936</v>
      </c>
      <c r="E10" s="8">
        <f>NPV(12%, D5:D8)+D4</f>
        <v>48192.826556643049</v>
      </c>
      <c r="F10" s="8">
        <f>NPV(12%, E5:E8)+E4</f>
        <v>11168.653685964178</v>
      </c>
    </row>
    <row r="12" spans="2:6" x14ac:dyDescent="0.55000000000000004">
      <c r="C12" t="s">
        <v>8</v>
      </c>
      <c r="D12" s="9">
        <f>IRR(C4:C8)</f>
        <v>0.48113768967447057</v>
      </c>
      <c r="E12" s="9">
        <f>IRR(D4:D8)</f>
        <v>0.76977923045642527</v>
      </c>
      <c r="F12" s="9">
        <f>IRR(E4:E8)</f>
        <v>-8.1889665671578737E-2</v>
      </c>
    </row>
    <row r="14" spans="2:6" x14ac:dyDescent="0.55000000000000004">
      <c r="C14" t="s">
        <v>9</v>
      </c>
      <c r="D14" s="11">
        <f>(D10+ABS(C4))/ABS(C4)</f>
        <v>2.0131179066014155</v>
      </c>
      <c r="E14" s="11">
        <f>(E10+ABS(D4))/ABS(D4)</f>
        <v>2.2048206639160761</v>
      </c>
      <c r="F14" s="12">
        <f>(F10+ABS(E4))/ABS(E4)</f>
        <v>1.558432684298209</v>
      </c>
    </row>
    <row r="15" spans="2:6" x14ac:dyDescent="0.55000000000000004">
      <c r="F15" s="10"/>
    </row>
    <row r="16" spans="2:6" x14ac:dyDescent="0.55000000000000004">
      <c r="C16" t="s">
        <v>10</v>
      </c>
      <c r="D16" s="9">
        <f>MIRR(C4:C8, 12%, 12%)</f>
        <v>0.33409060461342577</v>
      </c>
      <c r="E16" s="9">
        <f>MIRR(D4:D8, 12%, 12%)</f>
        <v>0.36477588564399444</v>
      </c>
      <c r="F16" s="9">
        <f>MIRR(E4:E8, 12%, 12%)</f>
        <v>0.18328194915843188</v>
      </c>
    </row>
    <row r="18" spans="2:11" x14ac:dyDescent="0.55000000000000004">
      <c r="C18" t="s">
        <v>11</v>
      </c>
      <c r="D18" s="9">
        <f>IRR(_xlfn.ANCHORARRAY(D19))</f>
        <v>0.2432500862321767</v>
      </c>
    </row>
    <row r="19" spans="2:11" x14ac:dyDescent="0.55000000000000004">
      <c r="D19" s="4" cm="1">
        <f t="array" ref="D19:D23">C4:C8-D4:D8</f>
        <v>-20000</v>
      </c>
    </row>
    <row r="20" spans="2:11" x14ac:dyDescent="0.55000000000000004">
      <c r="D20">
        <v>-40000</v>
      </c>
    </row>
    <row r="21" spans="2:11" x14ac:dyDescent="0.55000000000000004">
      <c r="D21">
        <v>42000</v>
      </c>
    </row>
    <row r="22" spans="2:11" x14ac:dyDescent="0.55000000000000004">
      <c r="D22">
        <v>40000</v>
      </c>
    </row>
    <row r="23" spans="2:11" x14ac:dyDescent="0.55000000000000004">
      <c r="D23">
        <v>10000</v>
      </c>
    </row>
    <row r="25" spans="2:11" x14ac:dyDescent="0.55000000000000004">
      <c r="C25">
        <v>6</v>
      </c>
      <c r="D25" s="13" t="s">
        <v>12</v>
      </c>
      <c r="E25" s="13"/>
      <c r="F25" s="13"/>
      <c r="G25" s="13"/>
      <c r="H25" s="13"/>
      <c r="I25" s="13"/>
      <c r="J25" s="13"/>
      <c r="K25" s="13"/>
    </row>
    <row r="26" spans="2:11" x14ac:dyDescent="0.55000000000000004">
      <c r="D26" s="13" t="s">
        <v>13</v>
      </c>
      <c r="E26" s="13"/>
      <c r="F26" s="13"/>
      <c r="G26" s="13"/>
      <c r="H26" s="13"/>
      <c r="I26" s="13"/>
      <c r="J26" s="13"/>
      <c r="K26" s="13"/>
    </row>
    <row r="30" spans="2:11" ht="14.7" thickBot="1" x14ac:dyDescent="0.6">
      <c r="B30" t="s">
        <v>14</v>
      </c>
    </row>
    <row r="31" spans="2:11" ht="14.7" thickBot="1" x14ac:dyDescent="0.6">
      <c r="B31" t="s">
        <v>20</v>
      </c>
      <c r="C31" s="14" t="s">
        <v>24</v>
      </c>
      <c r="D31" s="15" t="s">
        <v>15</v>
      </c>
      <c r="E31" s="19" t="s">
        <v>16</v>
      </c>
      <c r="F31" s="21" t="s">
        <v>17</v>
      </c>
      <c r="G31" s="23" t="s">
        <v>18</v>
      </c>
      <c r="H31" s="23" t="s">
        <v>19</v>
      </c>
      <c r="I31" s="22"/>
    </row>
    <row r="32" spans="2:11" ht="14.7" thickBot="1" x14ac:dyDescent="0.6">
      <c r="C32" s="16" t="s">
        <v>20</v>
      </c>
      <c r="D32" s="18">
        <v>1061191</v>
      </c>
      <c r="E32" s="20">
        <v>122737</v>
      </c>
      <c r="F32" s="24">
        <v>1</v>
      </c>
      <c r="G32" s="24" cm="1">
        <f t="array" ref="G32:G41">D32:D41*F32:F41</f>
        <v>1061191</v>
      </c>
      <c r="H32" s="24" cm="1">
        <f t="array" ref="H32:H41">E32:E41*F32:F41</f>
        <v>122737</v>
      </c>
    </row>
    <row r="33" spans="2:8" ht="14.7" thickBot="1" x14ac:dyDescent="0.6">
      <c r="C33" s="16" t="s">
        <v>21</v>
      </c>
      <c r="D33" s="18">
        <v>561758</v>
      </c>
      <c r="E33" s="20">
        <v>58102</v>
      </c>
      <c r="F33" s="21">
        <v>0</v>
      </c>
      <c r="G33" s="21">
        <v>0</v>
      </c>
      <c r="H33" s="21">
        <v>0</v>
      </c>
    </row>
    <row r="34" spans="2:8" ht="14.7" thickBot="1" x14ac:dyDescent="0.6">
      <c r="C34" s="16" t="s">
        <v>22</v>
      </c>
      <c r="D34" s="18">
        <v>1647849</v>
      </c>
      <c r="E34" s="20">
        <v>280660</v>
      </c>
      <c r="F34" s="24">
        <v>1</v>
      </c>
      <c r="G34" s="24">
        <v>1647849</v>
      </c>
      <c r="H34" s="24">
        <v>280660</v>
      </c>
    </row>
    <row r="35" spans="2:8" ht="14.7" thickBot="1" x14ac:dyDescent="0.6">
      <c r="C35" s="16" t="s">
        <v>23</v>
      </c>
      <c r="D35" s="18">
        <v>1026020</v>
      </c>
      <c r="E35" s="20">
        <v>89365</v>
      </c>
      <c r="F35" s="24">
        <v>1</v>
      </c>
      <c r="G35" s="24">
        <v>1026020</v>
      </c>
      <c r="H35" s="24">
        <v>89365</v>
      </c>
    </row>
    <row r="36" spans="2:8" ht="14.7" thickBot="1" x14ac:dyDescent="0.6">
      <c r="C36" s="16" t="s">
        <v>25</v>
      </c>
      <c r="D36" s="18">
        <v>191870</v>
      </c>
      <c r="E36" s="20">
        <v>17568</v>
      </c>
      <c r="F36" s="24">
        <v>1</v>
      </c>
      <c r="G36" s="24">
        <v>191870</v>
      </c>
      <c r="H36" s="24">
        <v>17568</v>
      </c>
    </row>
    <row r="37" spans="2:8" ht="14.7" thickBot="1" x14ac:dyDescent="0.6">
      <c r="C37" s="16" t="s">
        <v>26</v>
      </c>
      <c r="D37" s="18">
        <v>1333625</v>
      </c>
      <c r="E37" s="20">
        <v>76960</v>
      </c>
      <c r="F37" s="21">
        <v>0</v>
      </c>
      <c r="G37" s="21">
        <v>0</v>
      </c>
      <c r="H37" s="21">
        <v>0</v>
      </c>
    </row>
    <row r="38" spans="2:8" ht="14.7" thickBot="1" x14ac:dyDescent="0.6">
      <c r="C38" s="16" t="s">
        <v>27</v>
      </c>
      <c r="D38" s="18">
        <v>3102642</v>
      </c>
      <c r="E38" s="20">
        <v>123240</v>
      </c>
      <c r="F38" s="21">
        <v>0</v>
      </c>
      <c r="G38" s="21">
        <v>0</v>
      </c>
      <c r="H38" s="21">
        <v>0</v>
      </c>
    </row>
    <row r="39" spans="2:8" ht="14.7" thickBot="1" x14ac:dyDescent="0.6">
      <c r="C39" s="16" t="s">
        <v>28</v>
      </c>
      <c r="D39" s="18">
        <v>275568</v>
      </c>
      <c r="E39" s="20">
        <v>79367</v>
      </c>
      <c r="F39" s="21">
        <v>0</v>
      </c>
      <c r="G39" s="21">
        <v>0</v>
      </c>
      <c r="H39" s="21">
        <v>0</v>
      </c>
    </row>
    <row r="40" spans="2:8" ht="14.7" thickBot="1" x14ac:dyDescent="0.6">
      <c r="C40" s="16" t="s">
        <v>29</v>
      </c>
      <c r="D40" s="18">
        <v>2044070</v>
      </c>
      <c r="E40" s="20">
        <v>60506</v>
      </c>
      <c r="F40" s="21">
        <v>0</v>
      </c>
      <c r="G40" s="21">
        <v>0</v>
      </c>
      <c r="H40" s="21">
        <v>0</v>
      </c>
    </row>
    <row r="41" spans="2:8" ht="14.7" thickBot="1" x14ac:dyDescent="0.6">
      <c r="C41" s="16" t="s">
        <v>30</v>
      </c>
      <c r="D41" s="18">
        <v>1017567</v>
      </c>
      <c r="E41" s="20">
        <v>56690</v>
      </c>
      <c r="F41" s="24">
        <v>1</v>
      </c>
      <c r="G41" s="24">
        <v>1017567</v>
      </c>
      <c r="H41" s="24">
        <v>56690</v>
      </c>
    </row>
    <row r="42" spans="2:8" x14ac:dyDescent="0.55000000000000004">
      <c r="D42" s="17"/>
      <c r="E42" s="17"/>
      <c r="G42" s="25">
        <f>SUM(_xlfn.ANCHORARRAY(G32))</f>
        <v>4944497</v>
      </c>
      <c r="H42" s="25">
        <f>SUM(_xlfn.ANCHORARRAY(H32))</f>
        <v>567020</v>
      </c>
    </row>
    <row r="43" spans="2:8" ht="14.7" thickBot="1" x14ac:dyDescent="0.6"/>
    <row r="44" spans="2:8" ht="14.7" thickBot="1" x14ac:dyDescent="0.6">
      <c r="B44" t="s">
        <v>21</v>
      </c>
      <c r="C44" s="14" t="s">
        <v>24</v>
      </c>
      <c r="D44" s="15" t="s">
        <v>15</v>
      </c>
      <c r="E44" s="19" t="s">
        <v>16</v>
      </c>
      <c r="F44" s="21" t="s">
        <v>17</v>
      </c>
      <c r="G44" s="23" t="s">
        <v>18</v>
      </c>
      <c r="H44" s="23" t="s">
        <v>19</v>
      </c>
    </row>
    <row r="45" spans="2:8" ht="14.7" thickBot="1" x14ac:dyDescent="0.6">
      <c r="C45" s="16" t="s">
        <v>20</v>
      </c>
      <c r="D45" s="18">
        <v>1061191</v>
      </c>
      <c r="E45" s="20">
        <v>122737</v>
      </c>
      <c r="F45" s="21">
        <v>1</v>
      </c>
      <c r="G45" s="21" cm="1">
        <f t="array" ref="G45:G54">D45:D54*F45:F54</f>
        <v>1061191</v>
      </c>
      <c r="H45" s="21" cm="1">
        <f t="array" ref="H45:H54">E45:E54*F45:F54</f>
        <v>122737</v>
      </c>
    </row>
    <row r="46" spans="2:8" ht="14.7" thickBot="1" x14ac:dyDescent="0.6">
      <c r="C46" s="16" t="s">
        <v>21</v>
      </c>
      <c r="D46" s="18">
        <v>561758</v>
      </c>
      <c r="E46" s="20">
        <v>58102</v>
      </c>
      <c r="F46" s="21">
        <v>1</v>
      </c>
      <c r="G46" s="21">
        <v>561758</v>
      </c>
      <c r="H46" s="21">
        <v>58102</v>
      </c>
    </row>
    <row r="47" spans="2:8" ht="14.7" thickBot="1" x14ac:dyDescent="0.6">
      <c r="C47" s="16" t="s">
        <v>22</v>
      </c>
      <c r="D47" s="18">
        <v>1647849</v>
      </c>
      <c r="E47" s="20">
        <v>280660</v>
      </c>
      <c r="F47" s="21">
        <v>1</v>
      </c>
      <c r="G47" s="21">
        <v>1647849</v>
      </c>
      <c r="H47" s="21">
        <v>280660</v>
      </c>
    </row>
    <row r="48" spans="2:8" ht="14.7" thickBot="1" x14ac:dyDescent="0.6">
      <c r="C48" s="16" t="s">
        <v>23</v>
      </c>
      <c r="D48" s="18">
        <v>1026020</v>
      </c>
      <c r="E48" s="20">
        <v>89365</v>
      </c>
      <c r="F48" s="21">
        <v>1</v>
      </c>
      <c r="G48" s="21">
        <v>1026020</v>
      </c>
      <c r="H48" s="21">
        <v>89365</v>
      </c>
    </row>
    <row r="49" spans="3:8" ht="14.7" thickBot="1" x14ac:dyDescent="0.6">
      <c r="C49" s="16" t="s">
        <v>25</v>
      </c>
      <c r="D49" s="18">
        <v>191870</v>
      </c>
      <c r="E49" s="20">
        <v>17568</v>
      </c>
      <c r="F49" s="21">
        <v>1</v>
      </c>
      <c r="G49" s="21">
        <v>191870</v>
      </c>
      <c r="H49" s="21">
        <v>17568</v>
      </c>
    </row>
    <row r="50" spans="3:8" ht="14.7" thickBot="1" x14ac:dyDescent="0.6">
      <c r="C50" s="16" t="s">
        <v>26</v>
      </c>
      <c r="D50" s="18">
        <v>1333625</v>
      </c>
      <c r="E50" s="20">
        <v>76960</v>
      </c>
      <c r="F50" s="21">
        <v>0</v>
      </c>
      <c r="G50" s="21">
        <v>0</v>
      </c>
      <c r="H50" s="21">
        <v>0</v>
      </c>
    </row>
    <row r="51" spans="3:8" ht="14.7" thickBot="1" x14ac:dyDescent="0.6">
      <c r="C51" s="16" t="s">
        <v>27</v>
      </c>
      <c r="D51" s="18">
        <v>3102642</v>
      </c>
      <c r="E51" s="20">
        <v>123240</v>
      </c>
      <c r="F51" s="21">
        <v>0</v>
      </c>
      <c r="G51" s="21">
        <v>0</v>
      </c>
      <c r="H51" s="21">
        <v>0</v>
      </c>
    </row>
    <row r="52" spans="3:8" ht="14.7" thickBot="1" x14ac:dyDescent="0.6">
      <c r="C52" s="16" t="s">
        <v>28</v>
      </c>
      <c r="D52" s="18">
        <v>275568</v>
      </c>
      <c r="E52" s="20">
        <v>79367</v>
      </c>
      <c r="F52" s="21">
        <v>1</v>
      </c>
      <c r="G52" s="21">
        <v>275568</v>
      </c>
      <c r="H52" s="21">
        <v>79367</v>
      </c>
    </row>
    <row r="53" spans="3:8" ht="14.7" thickBot="1" x14ac:dyDescent="0.6">
      <c r="C53" s="16" t="s">
        <v>29</v>
      </c>
      <c r="D53" s="18">
        <v>2044070</v>
      </c>
      <c r="E53" s="20">
        <v>60506</v>
      </c>
      <c r="F53" s="24">
        <v>0</v>
      </c>
      <c r="G53" s="24">
        <v>0</v>
      </c>
      <c r="H53" s="24">
        <v>0</v>
      </c>
    </row>
    <row r="54" spans="3:8" ht="14.7" thickBot="1" x14ac:dyDescent="0.6">
      <c r="C54" s="16" t="s">
        <v>30</v>
      </c>
      <c r="D54" s="18">
        <v>1017567</v>
      </c>
      <c r="E54" s="20">
        <v>56690</v>
      </c>
      <c r="F54" s="21">
        <v>0</v>
      </c>
      <c r="G54" s="21">
        <v>0</v>
      </c>
      <c r="H54" s="21">
        <v>0</v>
      </c>
    </row>
    <row r="55" spans="3:8" x14ac:dyDescent="0.55000000000000004">
      <c r="D55" s="17"/>
      <c r="E55" s="17"/>
      <c r="G55" s="25">
        <f>SUM(_xlfn.ANCHORARRAY(G45))</f>
        <v>4764256</v>
      </c>
      <c r="H55" s="25">
        <f>SUM(_xlfn.ANCHORARRAY(H45))</f>
        <v>647799</v>
      </c>
    </row>
  </sheetData>
  <scenarios current="0">
    <scenario name="sd" count="10" user="Swastik Mallick" comment="Created by Swastik Mallick on 9/30/2025">
      <inputCells r="F32" val="0"/>
      <inputCells r="F33" val="0"/>
      <inputCells r="F34" val="0"/>
      <inputCells r="F35" val="0"/>
      <inputCells r="F36" val="0"/>
      <inputCells r="F37" val="0"/>
      <inputCells r="F38" val="0"/>
      <inputCells r="F39" val="0"/>
      <inputCells r="F40" val="0"/>
      <inputCells r="F41" val="0"/>
    </scenario>
    <scenario name="gd" count="10" user="Swastik Mallick" comment="Created by Swastik Mallick on 9/30/2025">
      <inputCells r="F32" val="0"/>
      <inputCells r="F33" val="0"/>
      <inputCells r="F34" val="0"/>
      <inputCells r="F35" val="0"/>
      <inputCells r="F36" val="0"/>
      <inputCells r="F37" val="0"/>
      <inputCells r="F38" val="0"/>
      <inputCells r="F39" val="0"/>
      <inputCells r="F40" val="0"/>
      <inputCells r="F41" val="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Mallick</dc:creator>
  <cp:lastModifiedBy>Swastik Mallick</cp:lastModifiedBy>
  <dcterms:created xsi:type="dcterms:W3CDTF">2025-10-01T02:01:51Z</dcterms:created>
  <dcterms:modified xsi:type="dcterms:W3CDTF">2025-10-16T13:44:37Z</dcterms:modified>
</cp:coreProperties>
</file>