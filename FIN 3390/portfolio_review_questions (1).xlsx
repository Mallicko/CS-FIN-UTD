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xk110730\Downloads\"/>
    </mc:Choice>
  </mc:AlternateContent>
  <xr:revisionPtr revIDLastSave="0" documentId="13_ncr:1_{CCD3E30F-2507-415D-8197-2D705B90C4BD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solver_adj" localSheetId="0" hidden="1">'1'!$F$2</definedName>
    <definedName name="solver_adj" localSheetId="1" hidden="1">'2'!$G$8:$H$8</definedName>
    <definedName name="solver_adj" localSheetId="2" hidden="1">'3'!$B$13:$C$13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1" hidden="1">'2'!$I$8</definedName>
    <definedName name="solver_lhs1" localSheetId="2" hidden="1">'3'!$D$13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2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1</definedName>
    <definedName name="solver_num" localSheetId="2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'1'!$F$4</definedName>
    <definedName name="solver_opt" localSheetId="1" hidden="1">'2'!$G$9</definedName>
    <definedName name="solver_opt" localSheetId="2" hidden="1">'3'!$B$15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1</definedName>
    <definedName name="solver_rhs1" localSheetId="2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1" i="4"/>
  <c r="B9" i="4"/>
  <c r="B7" i="4"/>
  <c r="G2" i="1"/>
  <c r="F4" i="1" s="1"/>
  <c r="D13" i="1"/>
  <c r="D14" i="1"/>
  <c r="D15" i="1"/>
  <c r="D16" i="1"/>
  <c r="D17" i="1"/>
  <c r="D18" i="1"/>
  <c r="D19" i="1"/>
  <c r="D20" i="1"/>
  <c r="D21" i="1"/>
  <c r="D22" i="1"/>
  <c r="D12" i="1"/>
  <c r="C13" i="1"/>
  <c r="C14" i="1"/>
  <c r="C15" i="1"/>
  <c r="C16" i="1"/>
  <c r="C17" i="1"/>
  <c r="C18" i="1"/>
  <c r="C19" i="1"/>
  <c r="C20" i="1"/>
  <c r="C21" i="1"/>
  <c r="C22" i="1"/>
  <c r="C12" i="1"/>
  <c r="B13" i="1"/>
  <c r="B14" i="1"/>
  <c r="B15" i="1"/>
  <c r="B16" i="1"/>
  <c r="B17" i="1"/>
  <c r="B18" i="1"/>
  <c r="B19" i="1"/>
  <c r="B20" i="1"/>
  <c r="B21" i="1"/>
  <c r="B22" i="1"/>
  <c r="B12" i="1"/>
  <c r="B9" i="1" a="1"/>
  <c r="B9" i="1"/>
  <c r="C8" i="1" a="1"/>
  <c r="C8" i="1"/>
  <c r="B8" i="1" a="1"/>
  <c r="B8" i="1" s="1"/>
  <c r="C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<sst xmlns="http://schemas.openxmlformats.org/spreadsheetml/2006/main" count="42" uniqueCount="34">
  <si>
    <t>Probability</t>
  </si>
  <si>
    <t>Returns on A</t>
  </si>
  <si>
    <t>Returns on B</t>
  </si>
  <si>
    <t>Asset X</t>
  </si>
  <si>
    <t>Asset Y</t>
  </si>
  <si>
    <t>State of the Economy</t>
  </si>
  <si>
    <r>
      <t>R</t>
    </r>
    <r>
      <rPr>
        <b/>
        <vertAlign val="subscript"/>
        <sz val="12"/>
        <color theme="1"/>
        <rFont val="Times New Roman"/>
        <family val="1"/>
      </rPr>
      <t>A</t>
    </r>
  </si>
  <si>
    <r>
      <t>R</t>
    </r>
    <r>
      <rPr>
        <b/>
        <vertAlign val="subscript"/>
        <sz val="12"/>
        <color theme="1"/>
        <rFont val="Times New Roman"/>
        <family val="1"/>
      </rPr>
      <t>B</t>
    </r>
  </si>
  <si>
    <t>Depression</t>
  </si>
  <si>
    <t>Recession</t>
  </si>
  <si>
    <t>Normal</t>
  </si>
  <si>
    <t>Boom</t>
  </si>
  <si>
    <t>X</t>
  </si>
  <si>
    <t>Y</t>
  </si>
  <si>
    <t>Z</t>
  </si>
  <si>
    <t>A</t>
  </si>
  <si>
    <t>Stock A</t>
  </si>
  <si>
    <t>Stock B</t>
  </si>
  <si>
    <t>Mean return</t>
  </si>
  <si>
    <t>variance</t>
  </si>
  <si>
    <t>covariance</t>
  </si>
  <si>
    <t>weights on A</t>
  </si>
  <si>
    <t>weights on B</t>
  </si>
  <si>
    <t>Risk</t>
  </si>
  <si>
    <t>Return</t>
  </si>
  <si>
    <t>MVP</t>
  </si>
  <si>
    <t>Weights</t>
  </si>
  <si>
    <t>B</t>
  </si>
  <si>
    <t>Variance</t>
  </si>
  <si>
    <t>Var (X)</t>
  </si>
  <si>
    <t>Std dev (A)</t>
  </si>
  <si>
    <t>Cov(Y,Z)</t>
  </si>
  <si>
    <t>Corr(X,A)</t>
  </si>
  <si>
    <t>=Cov(X,A)/(std dev of X * std dev of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</si>
</sst>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4" formatCode="0.000%"/>
    <numFmt numFmtId="165" formatCode="0.0000%"/>
    <numFmt numFmtId="166" formatCode="_(* #,##0.00000_);_(* \(#,##0.00000\);_(* &quot;-&quot;??_);_(@_)"/>
    <numFmt numFmtId="168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0" fontId="0" fillId="0" borderId="0" xfId="2" applyNumberFormat="1" applyFont="1"/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166" fontId="0" fillId="0" borderId="0" xfId="0" applyNumberFormat="1"/>
    <xf numFmtId="168" fontId="0" fillId="0" borderId="0" xfId="1" applyNumberFormat="1" applyFont="1"/>
    <xf numFmtId="0" fontId="0" fillId="0" borderId="0" xfId="0" applyFill="1" applyBorder="1" applyAlignment="1">
      <alignment vertical="center" wrapText="1"/>
    </xf>
    <xf numFmtId="168" fontId="0" fillId="0" borderId="0" xfId="0" applyNumberFormat="1"/>
    <xf numFmtId="0" fontId="5" fillId="2" borderId="4" xfId="0" applyFont="1" applyFill="1" applyBorder="1" applyAlignment="1">
      <alignment horizontal="right" vertical="center"/>
    </xf>
    <xf numFmtId="0" fontId="0" fillId="0" borderId="0" xfId="0" quotePrefix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'1'!$D$11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'1'!$C$12:$C$22</c:f>
              <c:numCache>
                <c:formatCode>_(* #,##0.00_);_(* \(#,##0.00\);_(* "-"??_);_(@_)</c:formatCode>
                <c:ptCount val="11"/>
                <c:pt idx="0">
                  <c:v>5.3068750000000005E-2</c:v>
                </c:pt>
                <c:pt idx="1">
                  <c:v>4.6862227500000006E-2</c:v>
                </c:pt>
                <c:pt idx="2">
                  <c:v>4.1043160000000009E-2</c:v>
                </c:pt>
                <c:pt idx="3">
                  <c:v>3.56115475E-2</c:v>
                </c:pt>
                <c:pt idx="4">
                  <c:v>3.056739E-2</c:v>
                </c:pt>
                <c:pt idx="5">
                  <c:v>2.5910687500000001E-2</c:v>
                </c:pt>
                <c:pt idx="6">
                  <c:v>2.1641440000000001E-2</c:v>
                </c:pt>
                <c:pt idx="7">
                  <c:v>1.7759647500000003E-2</c:v>
                </c:pt>
                <c:pt idx="8">
                  <c:v>1.426531E-2</c:v>
                </c:pt>
                <c:pt idx="9">
                  <c:v>1.11584275E-2</c:v>
                </c:pt>
                <c:pt idx="10">
                  <c:v>8.4390000000000003E-3</c:v>
                </c:pt>
              </c:numCache>
            </c:numRef>
          </c:xVal>
          <c:yVal>
            <c:numRef>
              <c:f>'1'!$D$12:$D$22</c:f>
              <c:numCache>
                <c:formatCode>0.00%</c:formatCode>
                <c:ptCount val="11"/>
                <c:pt idx="0">
                  <c:v>5.7500000000000002E-2</c:v>
                </c:pt>
                <c:pt idx="1">
                  <c:v>5.985E-2</c:v>
                </c:pt>
                <c:pt idx="2">
                  <c:v>6.2200000000000005E-2</c:v>
                </c:pt>
                <c:pt idx="3">
                  <c:v>6.4549999999999996E-2</c:v>
                </c:pt>
                <c:pt idx="4">
                  <c:v>6.6900000000000001E-2</c:v>
                </c:pt>
                <c:pt idx="5">
                  <c:v>6.9249999999999992E-2</c:v>
                </c:pt>
                <c:pt idx="6">
                  <c:v>7.1599999999999997E-2</c:v>
                </c:pt>
                <c:pt idx="7">
                  <c:v>7.3949999999999988E-2</c:v>
                </c:pt>
                <c:pt idx="8">
                  <c:v>7.6299999999999993E-2</c:v>
                </c:pt>
                <c:pt idx="9">
                  <c:v>7.8649999999999998E-2</c:v>
                </c:pt>
                <c:pt idx="10">
                  <c:v>8.0999999999999989E-2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0-4A9A-960A-5F471E546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829920"/>
        <c:axId val="343846720"/>
      </c:scatterChart>
      <c:valAx>
        <c:axId val="3438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46720"/>
        <c:crosses val="autoZero"/>
        <c:crossBetween val="midCat"/>
      </c:valAx>
      <c:valAx>
        <c:axId val="343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2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213612</xdr:colOff>
      <xdr:row>2</xdr:row>
      <xdr:rowOff>183730</xdr:rowOff>
    </xdr:from>
    <xdr:to>
      <xdr:col>14</xdr:col>
      <xdr:colOff>499362</xdr:colOff>
      <xdr:row>5</xdr:row>
      <xdr:rowOff>58365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B32CC8-8415-45C3-DAD8-A2F8436B17EF}"/>
            </a:ext>
          </a:extLst>
        </xdr:cNvPr>
        <xdr:cNvSpPr txBox="1"/>
      </xdr:nvSpPr>
      <xdr:spPr>
        <a:xfrm>
          <a:off x="6578553" y="553524"/>
          <a:ext cx="3521449" cy="429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Find the attainable set and the MVP.</a:t>
          </a:r>
        </a:p>
      </xdr:txBody>
    </xdr:sp>
    <xdr:clientData/>
  </xdr:twoCellAnchor>
  <xdr:twoCellAnchor>
    <xdr:from>
      <xdr:col>4</xdr:col>
      <xdr:colOff>147076</xdr:colOff>
      <xdr:row>7</xdr:row>
      <xdr:rowOff>172010</xdr:rowOff>
    </xdr:from>
    <xdr:to>
      <xdr:col>11</xdr:col>
      <xdr:colOff>93848</xdr:colOff>
      <xdr:row>23</xdr:row>
      <xdr:rowOff>1680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D35750-1B28-9843-B90E-57AE44CFD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215106</xdr:colOff>
      <xdr:row>3</xdr:row>
      <xdr:rowOff>61119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C8178-63D8-4A55-9AC9-08DC151F1C25}"/>
            </a:ext>
          </a:extLst>
        </xdr:cNvPr>
        <xdr:cNvSpPr txBox="1"/>
      </xdr:nvSpPr>
      <xdr:spPr>
        <a:xfrm>
          <a:off x="4481513" y="185738"/>
          <a:ext cx="3520281" cy="432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Find the attainable set and the MVP.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281781</xdr:colOff>
      <xdr:row>4</xdr:row>
      <xdr:rowOff>32544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0C1894-5745-49E9-814C-3D07332AA36D}"/>
            </a:ext>
          </a:extLst>
        </xdr:cNvPr>
        <xdr:cNvSpPr txBox="1"/>
      </xdr:nvSpPr>
      <xdr:spPr>
        <a:xfrm>
          <a:off x="4471988" y="433388"/>
          <a:ext cx="3520281" cy="432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Find the attainable set and the MVP.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281781</xdr:colOff>
      <xdr:row>3</xdr:row>
      <xdr:rowOff>32544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B8A30E-B686-45AB-9364-075C45A68BE7}"/>
            </a:ext>
          </a:extLst>
        </xdr:cNvPr>
        <xdr:cNvSpPr txBox="1"/>
      </xdr:nvSpPr>
      <xdr:spPr>
        <a:xfrm>
          <a:off x="4762500" y="200025"/>
          <a:ext cx="3520281" cy="432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Find the attainable set and the MVP.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="170" zoomScaleNormal="170" workbookViewId="0">
      <selection activeCell="G5" sqref="G5"/>
    </sheetView>
  </sheetViews>
  <sheetFormatPr defaultRowHeight="14.25" x14ac:dyDescent="0.45"/>
  <cols>
    <col min="1" max="3" width="11.1328125" customWidth="1"/>
    <col min="8" max="8" width="10.3984375" bestFit="1" customWidth="1"/>
  </cols>
  <sheetData>
    <row r="1" spans="1:9" ht="14.65" thickBot="1" x14ac:dyDescent="0.5">
      <c r="A1" s="1" t="s">
        <v>0</v>
      </c>
      <c r="B1" s="2" t="s">
        <v>1</v>
      </c>
      <c r="C1" s="2" t="s">
        <v>2</v>
      </c>
      <c r="E1" s="20" t="s">
        <v>25</v>
      </c>
      <c r="F1" s="20" t="s">
        <v>15</v>
      </c>
      <c r="G1" s="31" t="s">
        <v>27</v>
      </c>
      <c r="H1" s="20"/>
      <c r="I1" s="20"/>
    </row>
    <row r="2" spans="1:9" ht="14.65" thickBot="1" x14ac:dyDescent="0.5">
      <c r="A2" s="3">
        <v>0.2</v>
      </c>
      <c r="B2" s="4">
        <v>0.24</v>
      </c>
      <c r="C2" s="4">
        <v>0.45</v>
      </c>
      <c r="E2" s="21" t="s">
        <v>26</v>
      </c>
      <c r="F2" s="19">
        <v>1.6518692373610258</v>
      </c>
      <c r="G2" s="19">
        <f>1-F2</f>
        <v>-0.65186923736102576</v>
      </c>
      <c r="H2" s="22"/>
    </row>
    <row r="3" spans="1:9" ht="14.65" thickBot="1" x14ac:dyDescent="0.5">
      <c r="A3" s="3">
        <v>0.35</v>
      </c>
      <c r="B3" s="4">
        <v>0.09</v>
      </c>
      <c r="C3" s="4">
        <v>0.1</v>
      </c>
      <c r="E3" s="21"/>
      <c r="H3" s="22"/>
    </row>
    <row r="4" spans="1:9" ht="14.65" thickBot="1" x14ac:dyDescent="0.5">
      <c r="A4" s="3">
        <v>0.3</v>
      </c>
      <c r="B4" s="4">
        <v>0.03</v>
      </c>
      <c r="C4" s="4">
        <v>-0.1</v>
      </c>
      <c r="E4" s="21" t="s">
        <v>28</v>
      </c>
      <c r="F4" s="32">
        <f>F2^2*B8+G2^2*C8+2*F2*G2*B9</f>
        <v>2.0686918480856964E-4</v>
      </c>
      <c r="H4" s="22"/>
    </row>
    <row r="5" spans="1:9" ht="14.65" thickBot="1" x14ac:dyDescent="0.5">
      <c r="A5" s="3">
        <v>0.15</v>
      </c>
      <c r="B5" s="4">
        <v>-0.05</v>
      </c>
      <c r="C5" s="4">
        <v>-0.25</v>
      </c>
      <c r="E5" s="21"/>
      <c r="H5" s="22"/>
    </row>
    <row r="7" spans="1:9" x14ac:dyDescent="0.45">
      <c r="A7" t="s">
        <v>18</v>
      </c>
      <c r="B7" s="19">
        <f>SUMPRODUCT($A$2:$A$5,B2:B5)</f>
        <v>8.0999999999999989E-2</v>
      </c>
      <c r="C7" s="19">
        <f>SUMPRODUCT($A$2:$A$5,C2:C5)</f>
        <v>5.7500000000000002E-2</v>
      </c>
    </row>
    <row r="8" spans="1:9" x14ac:dyDescent="0.45">
      <c r="A8" t="s">
        <v>19</v>
      </c>
      <c r="B8" cm="1">
        <f t="array" ref="B8">SUMPRODUCT($A$2:$A$5,(B2:B5-B7)^2)</f>
        <v>8.4390000000000003E-3</v>
      </c>
      <c r="C8" cm="1">
        <f t="array" ref="C8">SUMPRODUCT($A$2:$A$5,(C2:C5-C7)^2)</f>
        <v>5.3068750000000005E-2</v>
      </c>
    </row>
    <row r="9" spans="1:9" x14ac:dyDescent="0.45">
      <c r="A9" t="s">
        <v>20</v>
      </c>
      <c r="B9" s="30" cm="1">
        <f t="array" ref="B9">SUMPRODUCT(A2:A5,B2:B5-B7,C2:C5-C7)</f>
        <v>2.1067499999999999E-2</v>
      </c>
      <c r="C9" s="19"/>
    </row>
    <row r="11" spans="1:9" x14ac:dyDescent="0.45">
      <c r="A11" t="s">
        <v>21</v>
      </c>
      <c r="B11" t="s">
        <v>22</v>
      </c>
      <c r="C11" t="s">
        <v>23</v>
      </c>
      <c r="D11" t="s">
        <v>24</v>
      </c>
    </row>
    <row r="12" spans="1:9" x14ac:dyDescent="0.45">
      <c r="A12">
        <v>0</v>
      </c>
      <c r="B12">
        <f>1-A12</f>
        <v>1</v>
      </c>
      <c r="C12" s="25">
        <f>A12^2*$B$8+B12^2*$C$8+2*A12*B12*$B$9</f>
        <v>5.3068750000000005E-2</v>
      </c>
      <c r="D12" s="19">
        <f>A12*$B$7+B12*$C$7</f>
        <v>5.7500000000000002E-2</v>
      </c>
    </row>
    <row r="13" spans="1:9" x14ac:dyDescent="0.45">
      <c r="A13">
        <v>0.1</v>
      </c>
      <c r="B13">
        <f t="shared" ref="B13:B22" si="0">1-A13</f>
        <v>0.9</v>
      </c>
      <c r="C13" s="25">
        <f t="shared" ref="C13:C22" si="1">A13^2*$B$8+B13^2*$C$8+2*A13*B13*$B$9</f>
        <v>4.6862227500000006E-2</v>
      </c>
      <c r="D13" s="19">
        <f t="shared" ref="D13:D22" si="2">A13*$B$7+B13*$C$7</f>
        <v>5.985E-2</v>
      </c>
    </row>
    <row r="14" spans="1:9" x14ac:dyDescent="0.45">
      <c r="A14">
        <v>0.2</v>
      </c>
      <c r="B14">
        <f t="shared" si="0"/>
        <v>0.8</v>
      </c>
      <c r="C14" s="25">
        <f t="shared" si="1"/>
        <v>4.1043160000000009E-2</v>
      </c>
      <c r="D14" s="19">
        <f t="shared" si="2"/>
        <v>6.2200000000000005E-2</v>
      </c>
    </row>
    <row r="15" spans="1:9" x14ac:dyDescent="0.45">
      <c r="A15">
        <v>0.3</v>
      </c>
      <c r="B15">
        <f t="shared" si="0"/>
        <v>0.7</v>
      </c>
      <c r="C15" s="25">
        <f t="shared" si="1"/>
        <v>3.56115475E-2</v>
      </c>
      <c r="D15" s="19">
        <f t="shared" si="2"/>
        <v>6.4549999999999996E-2</v>
      </c>
    </row>
    <row r="16" spans="1:9" x14ac:dyDescent="0.45">
      <c r="A16">
        <v>0.4</v>
      </c>
      <c r="B16">
        <f t="shared" si="0"/>
        <v>0.6</v>
      </c>
      <c r="C16" s="25">
        <f t="shared" si="1"/>
        <v>3.056739E-2</v>
      </c>
      <c r="D16" s="19">
        <f t="shared" si="2"/>
        <v>6.6900000000000001E-2</v>
      </c>
    </row>
    <row r="17" spans="1:4" x14ac:dyDescent="0.45">
      <c r="A17">
        <v>0.5</v>
      </c>
      <c r="B17">
        <f t="shared" si="0"/>
        <v>0.5</v>
      </c>
      <c r="C17" s="25">
        <f t="shared" si="1"/>
        <v>2.5910687500000001E-2</v>
      </c>
      <c r="D17" s="19">
        <f t="shared" si="2"/>
        <v>6.9249999999999992E-2</v>
      </c>
    </row>
    <row r="18" spans="1:4" x14ac:dyDescent="0.45">
      <c r="A18">
        <v>0.6</v>
      </c>
      <c r="B18">
        <f t="shared" si="0"/>
        <v>0.4</v>
      </c>
      <c r="C18" s="25">
        <f t="shared" si="1"/>
        <v>2.1641440000000001E-2</v>
      </c>
      <c r="D18" s="19">
        <f t="shared" si="2"/>
        <v>7.1599999999999997E-2</v>
      </c>
    </row>
    <row r="19" spans="1:4" x14ac:dyDescent="0.45">
      <c r="A19">
        <v>0.7</v>
      </c>
      <c r="B19">
        <f t="shared" si="0"/>
        <v>0.30000000000000004</v>
      </c>
      <c r="C19" s="25">
        <f t="shared" si="1"/>
        <v>1.7759647500000003E-2</v>
      </c>
      <c r="D19" s="19">
        <f t="shared" si="2"/>
        <v>7.3949999999999988E-2</v>
      </c>
    </row>
    <row r="20" spans="1:4" x14ac:dyDescent="0.45">
      <c r="A20">
        <v>0.8</v>
      </c>
      <c r="B20">
        <f t="shared" si="0"/>
        <v>0.19999999999999996</v>
      </c>
      <c r="C20" s="25">
        <f t="shared" si="1"/>
        <v>1.426531E-2</v>
      </c>
      <c r="D20" s="19">
        <f t="shared" si="2"/>
        <v>7.6299999999999993E-2</v>
      </c>
    </row>
    <row r="21" spans="1:4" x14ac:dyDescent="0.45">
      <c r="A21">
        <v>0.9</v>
      </c>
      <c r="B21">
        <f t="shared" si="0"/>
        <v>9.9999999999999978E-2</v>
      </c>
      <c r="C21" s="25">
        <f t="shared" si="1"/>
        <v>1.11584275E-2</v>
      </c>
      <c r="D21" s="19">
        <f t="shared" si="2"/>
        <v>7.8649999999999998E-2</v>
      </c>
    </row>
    <row r="22" spans="1:4" x14ac:dyDescent="0.45">
      <c r="A22">
        <v>1</v>
      </c>
      <c r="B22">
        <f t="shared" si="0"/>
        <v>0</v>
      </c>
      <c r="C22" s="25">
        <f t="shared" si="1"/>
        <v>8.4390000000000003E-3</v>
      </c>
      <c r="D22" s="19">
        <f t="shared" si="2"/>
        <v>8.0999999999999989E-2</v>
      </c>
    </row>
    <row r="24" spans="1:4" x14ac:dyDescent="0.45">
      <c r="B24" s="23"/>
      <c r="C24" s="23"/>
    </row>
    <row r="25" spans="1:4" x14ac:dyDescent="0.45">
      <c r="B25" s="24"/>
      <c r="C25" s="24"/>
    </row>
    <row r="27" spans="1:4" x14ac:dyDescent="0.45">
      <c r="B27" s="19"/>
    </row>
    <row r="28" spans="1:4" x14ac:dyDescent="0.45">
      <c r="B28" s="25"/>
    </row>
    <row r="29" spans="1:4" x14ac:dyDescent="0.45">
      <c r="B29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F2" sqref="F2"/>
    </sheetView>
  </sheetViews>
  <sheetFormatPr defaultRowHeight="14.25" x14ac:dyDescent="0.45"/>
  <cols>
    <col min="1" max="3" width="14.86328125" customWidth="1"/>
    <col min="7" max="7" width="10" bestFit="1" customWidth="1"/>
  </cols>
  <sheetData>
    <row r="1" spans="1:9" ht="14.65" thickBot="1" x14ac:dyDescent="0.5">
      <c r="A1" s="1" t="s">
        <v>0</v>
      </c>
      <c r="B1" s="2" t="s">
        <v>3</v>
      </c>
      <c r="C1" s="2" t="s">
        <v>4</v>
      </c>
      <c r="E1" s="20"/>
      <c r="F1" s="20"/>
      <c r="H1" s="20"/>
      <c r="I1" s="20"/>
    </row>
    <row r="2" spans="1:9" ht="14.65" thickBot="1" x14ac:dyDescent="0.5">
      <c r="A2" s="5">
        <v>0.25</v>
      </c>
      <c r="B2" s="4">
        <v>0.1</v>
      </c>
      <c r="C2" s="4">
        <v>0.2</v>
      </c>
      <c r="E2" s="26"/>
      <c r="H2" s="26"/>
    </row>
    <row r="3" spans="1:9" ht="14.65" thickBot="1" x14ac:dyDescent="0.5">
      <c r="A3" s="5">
        <v>0.3</v>
      </c>
      <c r="B3" s="4">
        <v>0.14000000000000001</v>
      </c>
      <c r="C3" s="4">
        <v>0.18</v>
      </c>
      <c r="E3" s="26"/>
      <c r="H3" s="26"/>
    </row>
    <row r="4" spans="1:9" ht="14.65" thickBot="1" x14ac:dyDescent="0.5">
      <c r="A4" s="5">
        <v>0.15</v>
      </c>
      <c r="B4" s="4">
        <v>0.18</v>
      </c>
      <c r="C4" s="4">
        <v>0.14000000000000001</v>
      </c>
      <c r="E4" s="26"/>
      <c r="H4" s="26"/>
    </row>
    <row r="5" spans="1:9" ht="14.65" thickBot="1" x14ac:dyDescent="0.5">
      <c r="A5" s="5">
        <v>0.3</v>
      </c>
      <c r="B5" s="4">
        <v>0.2</v>
      </c>
      <c r="C5" s="4">
        <v>0.1</v>
      </c>
      <c r="E5" s="26"/>
      <c r="H5" s="26"/>
    </row>
    <row r="11" spans="1:9" x14ac:dyDescent="0.45">
      <c r="G11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G3" sqref="G3"/>
    </sheetView>
  </sheetViews>
  <sheetFormatPr defaultRowHeight="14.25" x14ac:dyDescent="0.45"/>
  <cols>
    <col min="1" max="1" width="17.265625" bestFit="1" customWidth="1"/>
  </cols>
  <sheetData>
    <row r="1" spans="1:9" ht="18.399999999999999" thickBot="1" x14ac:dyDescent="0.5">
      <c r="A1" s="6" t="s">
        <v>5</v>
      </c>
      <c r="B1" s="7" t="s">
        <v>6</v>
      </c>
      <c r="C1" s="7" t="s">
        <v>7</v>
      </c>
      <c r="D1" t="s">
        <v>0</v>
      </c>
    </row>
    <row r="2" spans="1:9" ht="15.75" thickBot="1" x14ac:dyDescent="0.5">
      <c r="A2" s="8" t="s">
        <v>8</v>
      </c>
      <c r="B2" s="9">
        <v>-0.2</v>
      </c>
      <c r="C2" s="9">
        <v>0.05</v>
      </c>
      <c r="D2" s="26">
        <v>0.25</v>
      </c>
      <c r="F2" s="21"/>
      <c r="I2" s="21"/>
    </row>
    <row r="3" spans="1:9" ht="15.75" thickBot="1" x14ac:dyDescent="0.5">
      <c r="A3" s="8" t="s">
        <v>9</v>
      </c>
      <c r="B3" s="9">
        <v>0.1</v>
      </c>
      <c r="C3" s="9">
        <v>0.2</v>
      </c>
      <c r="D3" s="26">
        <v>0.25</v>
      </c>
      <c r="F3" s="21"/>
      <c r="I3" s="21"/>
    </row>
    <row r="4" spans="1:9" ht="15.75" thickBot="1" x14ac:dyDescent="0.5">
      <c r="A4" s="8" t="s">
        <v>10</v>
      </c>
      <c r="B4" s="9">
        <v>0.3</v>
      </c>
      <c r="C4" s="9">
        <v>-0.12</v>
      </c>
      <c r="D4" s="26">
        <v>0.25</v>
      </c>
      <c r="F4" s="21"/>
      <c r="I4" s="21"/>
    </row>
    <row r="5" spans="1:9" ht="15.75" thickBot="1" x14ac:dyDescent="0.5">
      <c r="A5" s="8" t="s">
        <v>11</v>
      </c>
      <c r="B5" s="9">
        <v>0.5</v>
      </c>
      <c r="C5" s="9">
        <v>0.09</v>
      </c>
      <c r="D5" s="26">
        <v>0.25</v>
      </c>
      <c r="F5" s="21"/>
      <c r="I5" s="21"/>
    </row>
    <row r="7" spans="1:9" ht="15.4" x14ac:dyDescent="0.45">
      <c r="A7" s="27"/>
      <c r="B7" s="19"/>
      <c r="C7" s="19"/>
    </row>
    <row r="8" spans="1:9" ht="15.4" x14ac:dyDescent="0.45">
      <c r="A8" s="27"/>
    </row>
    <row r="9" spans="1:9" ht="15.4" x14ac:dyDescent="0.45">
      <c r="A9" s="27"/>
    </row>
    <row r="10" spans="1:9" ht="15.4" x14ac:dyDescent="0.45">
      <c r="A10" s="27"/>
    </row>
    <row r="11" spans="1:9" ht="15.4" x14ac:dyDescent="0.45">
      <c r="A11" s="27"/>
    </row>
    <row r="13" spans="1:9" ht="15.4" x14ac:dyDescent="0.45">
      <c r="A13" s="27"/>
    </row>
    <row r="14" spans="1:9" ht="15.4" x14ac:dyDescent="0.45">
      <c r="A14" s="27"/>
    </row>
    <row r="15" spans="1:9" ht="15.4" x14ac:dyDescent="0.45">
      <c r="A15" s="2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abSelected="1" zoomScale="170" zoomScaleNormal="170" workbookViewId="0">
      <selection activeCell="F8" sqref="F8"/>
    </sheetView>
  </sheetViews>
  <sheetFormatPr defaultRowHeight="14.25" x14ac:dyDescent="0.45"/>
  <cols>
    <col min="1" max="1" width="10.59765625" bestFit="1" customWidth="1"/>
  </cols>
  <sheetData>
    <row r="1" spans="1:5" ht="15.75" thickBot="1" x14ac:dyDescent="0.5">
      <c r="A1" s="10"/>
      <c r="B1" s="11" t="s">
        <v>12</v>
      </c>
      <c r="C1" s="11" t="s">
        <v>13</v>
      </c>
      <c r="D1" s="11" t="s">
        <v>14</v>
      </c>
      <c r="E1" s="11" t="s">
        <v>15</v>
      </c>
    </row>
    <row r="2" spans="1:5" ht="15.75" thickBot="1" x14ac:dyDescent="0.5">
      <c r="A2" s="12" t="s">
        <v>12</v>
      </c>
      <c r="B2" s="33">
        <v>5.2499999999999997E-4</v>
      </c>
      <c r="C2" s="14"/>
      <c r="D2" s="14"/>
      <c r="E2" s="14"/>
    </row>
    <row r="3" spans="1:5" ht="15.75" thickBot="1" x14ac:dyDescent="0.5">
      <c r="A3" s="12" t="s">
        <v>13</v>
      </c>
      <c r="B3" s="13">
        <v>-4.95E-4</v>
      </c>
      <c r="C3" s="13">
        <v>5.4900000000000001E-4</v>
      </c>
      <c r="D3" s="14"/>
      <c r="E3" s="14"/>
    </row>
    <row r="4" spans="1:5" ht="15.75" thickBot="1" x14ac:dyDescent="0.5">
      <c r="A4" s="12" t="s">
        <v>14</v>
      </c>
      <c r="B4" s="13">
        <v>1.99E-3</v>
      </c>
      <c r="C4" s="33">
        <v>-2.0500000000000002E-3</v>
      </c>
      <c r="D4" s="13">
        <v>8.2799999999999992E-3</v>
      </c>
      <c r="E4" s="14"/>
    </row>
    <row r="5" spans="1:5" ht="15.75" thickBot="1" x14ac:dyDescent="0.5">
      <c r="A5" s="12" t="s">
        <v>15</v>
      </c>
      <c r="B5" s="13">
        <v>-6.9499999999999998E-4</v>
      </c>
      <c r="C5" s="13">
        <v>5.5699999999999999E-4</v>
      </c>
      <c r="D5" s="13">
        <v>-2.99E-3</v>
      </c>
      <c r="E5" s="33">
        <v>4.6610000000000002E-3</v>
      </c>
    </row>
    <row r="7" spans="1:5" ht="15.4" x14ac:dyDescent="0.45">
      <c r="A7" s="28" t="s">
        <v>29</v>
      </c>
      <c r="B7">
        <f>B2</f>
        <v>5.2499999999999997E-4</v>
      </c>
      <c r="C7" s="19"/>
    </row>
    <row r="8" spans="1:5" ht="15.4" x14ac:dyDescent="0.45">
      <c r="A8" s="28"/>
      <c r="C8" s="19"/>
    </row>
    <row r="9" spans="1:5" ht="15.4" x14ac:dyDescent="0.45">
      <c r="A9" s="28" t="s">
        <v>30</v>
      </c>
      <c r="B9" s="19">
        <f>SQRT(E5)</f>
        <v>6.8271516754793135E-2</v>
      </c>
      <c r="C9" s="19"/>
    </row>
    <row r="10" spans="1:5" ht="15.4" x14ac:dyDescent="0.45">
      <c r="A10" s="28"/>
      <c r="C10" s="19"/>
    </row>
    <row r="11" spans="1:5" x14ac:dyDescent="0.45">
      <c r="A11" t="s">
        <v>31</v>
      </c>
      <c r="B11">
        <f>C4</f>
        <v>-2.0500000000000002E-3</v>
      </c>
    </row>
    <row r="12" spans="1:5" ht="15.4" x14ac:dyDescent="0.45">
      <c r="A12" s="28"/>
    </row>
    <row r="13" spans="1:5" ht="15.4" x14ac:dyDescent="0.45">
      <c r="A13" s="28" t="s">
        <v>32</v>
      </c>
      <c r="B13" s="34" t="s">
        <v>33</v>
      </c>
    </row>
    <row r="14" spans="1:5" x14ac:dyDescent="0.45">
      <c r="B14" s="19">
        <f>B5/(SQRT(B2)*SQRT(E5))</f>
        <v>-0.44428904153024257</v>
      </c>
    </row>
    <row r="16" spans="1:5" x14ac:dyDescent="0.45">
      <c r="B16" s="23"/>
      <c r="C16" s="23"/>
    </row>
    <row r="17" spans="2:3" x14ac:dyDescent="0.45">
      <c r="B17" s="24"/>
      <c r="C17" s="24"/>
    </row>
    <row r="18" spans="2:3" x14ac:dyDescent="0.45">
      <c r="B18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G18" sqref="G18"/>
    </sheetView>
  </sheetViews>
  <sheetFormatPr defaultRowHeight="14.25" x14ac:dyDescent="0.45"/>
  <cols>
    <col min="1" max="1" width="12.265625" customWidth="1"/>
  </cols>
  <sheetData>
    <row r="1" spans="1:3" ht="15.75" thickBot="1" x14ac:dyDescent="0.5">
      <c r="A1" s="15" t="s">
        <v>0</v>
      </c>
      <c r="B1" s="16" t="s">
        <v>16</v>
      </c>
      <c r="C1" s="16" t="s">
        <v>17</v>
      </c>
    </row>
    <row r="2" spans="1:3" ht="15.75" thickBot="1" x14ac:dyDescent="0.5">
      <c r="A2" s="17">
        <v>0.15</v>
      </c>
      <c r="B2" s="18">
        <v>0.06</v>
      </c>
      <c r="C2" s="18">
        <v>-0.2</v>
      </c>
    </row>
    <row r="3" spans="1:3" ht="15.75" thickBot="1" x14ac:dyDescent="0.5">
      <c r="A3" s="17">
        <v>0.65</v>
      </c>
      <c r="B3" s="18">
        <v>7.0000000000000007E-2</v>
      </c>
      <c r="C3" s="18">
        <v>0.13</v>
      </c>
    </row>
    <row r="4" spans="1:3" ht="15.75" thickBot="1" x14ac:dyDescent="0.5">
      <c r="A4" s="17">
        <v>0.2</v>
      </c>
      <c r="B4" s="18">
        <v>0.11</v>
      </c>
      <c r="C4" s="18">
        <v>0.33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Dupinder</dc:creator>
  <cp:lastModifiedBy>Kaur, Dupinderjeet</cp:lastModifiedBy>
  <dcterms:created xsi:type="dcterms:W3CDTF">2018-04-17T18:17:13Z</dcterms:created>
  <dcterms:modified xsi:type="dcterms:W3CDTF">2025-11-11T21:12:47Z</dcterms:modified>
</cp:coreProperties>
</file>