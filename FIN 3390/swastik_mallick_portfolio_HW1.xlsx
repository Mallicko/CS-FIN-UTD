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\Finance\FIN 3390\"/>
    </mc:Choice>
  </mc:AlternateContent>
  <xr:revisionPtr revIDLastSave="0" documentId="8_{D43F3A1A-8EC0-4313-ADDC-36816E6F9292}" xr6:coauthVersionLast="47" xr6:coauthVersionMax="47" xr10:uidLastSave="{00000000-0000-0000-0000-000000000000}"/>
  <bookViews>
    <workbookView xWindow="7458" yWindow="0" windowWidth="15660" windowHeight="12318" xr2:uid="{DD9840F6-2C9F-4CD4-8643-14CC48F8BB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1" l="1"/>
  <c r="C46" i="1"/>
  <c r="D44" i="1"/>
  <c r="C44" i="1"/>
  <c r="F32" i="1"/>
  <c r="F33" i="1"/>
  <c r="F34" i="1"/>
  <c r="F35" i="1"/>
  <c r="F36" i="1"/>
  <c r="F37" i="1"/>
  <c r="F38" i="1"/>
  <c r="F39" i="1"/>
  <c r="F40" i="1"/>
  <c r="F41" i="1"/>
  <c r="F31" i="1"/>
  <c r="E32" i="1"/>
  <c r="E33" i="1"/>
  <c r="E34" i="1"/>
  <c r="E35" i="1"/>
  <c r="E36" i="1"/>
  <c r="E37" i="1"/>
  <c r="E38" i="1"/>
  <c r="E39" i="1"/>
  <c r="E40" i="1"/>
  <c r="E41" i="1"/>
  <c r="E31" i="1"/>
  <c r="D32" i="1"/>
  <c r="D33" i="1"/>
  <c r="D34" i="1"/>
  <c r="D35" i="1"/>
  <c r="D36" i="1"/>
  <c r="D37" i="1"/>
  <c r="D38" i="1"/>
  <c r="D39" i="1"/>
  <c r="D40" i="1"/>
  <c r="D41" i="1"/>
  <c r="D31" i="1"/>
  <c r="C28" i="1"/>
  <c r="C26" i="1"/>
  <c r="C21" i="1"/>
  <c r="D20" i="1"/>
  <c r="D17" i="1"/>
  <c r="C17" i="1"/>
  <c r="D16" i="1"/>
  <c r="C16" i="1"/>
  <c r="C13" i="1"/>
  <c r="C9" i="1" a="1"/>
  <c r="C9" i="1" s="1"/>
  <c r="D6" i="1"/>
  <c r="D8" i="1" s="1" a="1"/>
  <c r="D8" i="1" s="1"/>
  <c r="D11" i="1" s="1"/>
  <c r="C6" i="1"/>
  <c r="C8" i="1" s="1" a="1"/>
  <c r="C8" i="1" s="1"/>
  <c r="C1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<sst xmlns="http://schemas.openxmlformats.org/spreadsheetml/2006/main" count="38" uniqueCount="26">
  <si>
    <t>State of economy</t>
  </si>
  <si>
    <t>Probability</t>
  </si>
  <si>
    <t>Estimated Return (Fund A)</t>
  </si>
  <si>
    <t>Estimated Return (Fund B)</t>
  </si>
  <si>
    <t>Great</t>
  </si>
  <si>
    <t>Average</t>
  </si>
  <si>
    <t>Poor</t>
  </si>
  <si>
    <t>Expected Returns</t>
  </si>
  <si>
    <t>STD DEV</t>
  </si>
  <si>
    <t>COVAR</t>
  </si>
  <si>
    <t>VAR</t>
  </si>
  <si>
    <t>Corr(A,B)</t>
  </si>
  <si>
    <t>Corr Matrix</t>
  </si>
  <si>
    <t>A</t>
  </si>
  <si>
    <t>B</t>
  </si>
  <si>
    <t>COVAR Matrix</t>
  </si>
  <si>
    <t>Portfolio ER A=2000</t>
  </si>
  <si>
    <t>Portfolio ER B=8000</t>
  </si>
  <si>
    <t>w_A</t>
  </si>
  <si>
    <t>w_B</t>
  </si>
  <si>
    <t>=</t>
  </si>
  <si>
    <t>Portfolio STD DEV</t>
  </si>
  <si>
    <t>Risk</t>
  </si>
  <si>
    <t>Returns</t>
  </si>
  <si>
    <t>MVP</t>
  </si>
  <si>
    <t>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</si>
</sst>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0.000%"/>
    <numFmt numFmtId="173" formatCode="0.0000"/>
    <numFmt numFmtId="187" formatCode="0.0000%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9" fontId="0" fillId="0" borderId="0" xfId="0" applyNumberFormat="1"/>
    <xf numFmtId="9" fontId="1" fillId="0" borderId="4" xfId="0" applyNumberFormat="1" applyFont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/>
    <xf numFmtId="169" fontId="0" fillId="0" borderId="0" xfId="0" applyNumberFormat="1"/>
    <xf numFmtId="173" fontId="0" fillId="0" borderId="0" xfId="0" applyNumberFormat="1"/>
    <xf numFmtId="0" fontId="0" fillId="0" borderId="0" xfId="0" applyFont="1"/>
    <xf numFmtId="18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Sheet1!$E$31:$E$41</c:f>
              <c:numCache>
                <c:formatCode>0.0000</c:formatCode>
                <c:ptCount val="11"/>
                <c:pt idx="0">
                  <c:v>3.156E-3</c:v>
                </c:pt>
                <c:pt idx="1">
                  <c:v>2.4305099999999999E-3</c:v>
                </c:pt>
                <c:pt idx="2">
                  <c:v>1.8344400000000001E-3</c:v>
                </c:pt>
                <c:pt idx="3">
                  <c:v>1.3677899999999998E-3</c:v>
                </c:pt>
                <c:pt idx="4">
                  <c:v>1.03056E-3</c:v>
                </c:pt>
                <c:pt idx="5">
                  <c:v>8.2275000000000002E-4</c:v>
                </c:pt>
                <c:pt idx="6">
                  <c:v>7.4436000000000012E-4</c:v>
                </c:pt>
                <c:pt idx="7">
                  <c:v>7.953900000000002E-4</c:v>
                </c:pt>
                <c:pt idx="8">
                  <c:v>9.7584000000000039E-4</c:v>
                </c:pt>
                <c:pt idx="9">
                  <c:v>1.2857100000000005E-3</c:v>
                </c:pt>
                <c:pt idx="10">
                  <c:v>1.7250000000000004E-3</c:v>
                </c:pt>
              </c:numCache>
            </c:numRef>
          </c:xVal>
          <c:yVal>
            <c:numRef>
              <c:f>Sheet1!$F$31:$F$41</c:f>
              <c:numCache>
                <c:formatCode>0.0000</c:formatCode>
                <c:ptCount val="11"/>
                <c:pt idx="0">
                  <c:v>3.156E-3</c:v>
                </c:pt>
                <c:pt idx="1">
                  <c:v>3.0128999999999998E-3</c:v>
                </c:pt>
                <c:pt idx="2">
                  <c:v>2.8698000000000005E-3</c:v>
                </c:pt>
                <c:pt idx="3">
                  <c:v>2.7266999999999999E-3</c:v>
                </c:pt>
                <c:pt idx="4">
                  <c:v>2.5836000000000001E-3</c:v>
                </c:pt>
                <c:pt idx="5">
                  <c:v>2.4405E-3</c:v>
                </c:pt>
                <c:pt idx="6">
                  <c:v>2.2974000000000002E-3</c:v>
                </c:pt>
                <c:pt idx="7">
                  <c:v>2.1543000000000005E-3</c:v>
                </c:pt>
                <c:pt idx="8">
                  <c:v>2.0112000000000003E-3</c:v>
                </c:pt>
                <c:pt idx="9">
                  <c:v>1.8681000000000004E-3</c:v>
                </c:pt>
                <c:pt idx="10">
                  <c:v>1.7250000000000004E-3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D2-41B0-98E4-81E4738B4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7359567"/>
        <c:axId val="1557357647"/>
      </c:scatterChart>
      <c:valAx>
        <c:axId val="1557359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357647"/>
        <c:crosses val="autoZero"/>
        <c:crossBetween val="midCat"/>
      </c:valAx>
      <c:valAx>
        <c:axId val="155735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359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26</xdr:row>
      <xdr:rowOff>9525</xdr:rowOff>
    </xdr:from>
    <xdr:to>
      <xdr:col>13</xdr:col>
      <xdr:colOff>99060</xdr:colOff>
      <xdr:row>41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A15499-9871-3BC7-DA37-C629A5946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19A72-88F6-4576-90B5-03698F984051}">
  <dimension ref="A1:F47"/>
  <sheetViews>
    <sheetView tabSelected="1" topLeftCell="A22" workbookViewId="0">
      <selection activeCell="C48" sqref="C48"/>
    </sheetView>
  </sheetViews>
  <sheetFormatPr defaultRowHeight="14.4" x14ac:dyDescent="0.55000000000000004"/>
  <cols>
    <col min="1" max="1" width="15.9453125" customWidth="1"/>
    <col min="2" max="2" width="10.3125" customWidth="1"/>
    <col min="3" max="3" width="11.05078125" customWidth="1"/>
    <col min="4" max="4" width="10.9453125" customWidth="1"/>
  </cols>
  <sheetData>
    <row r="1" spans="1:4" ht="46.2" thickBot="1" x14ac:dyDescent="0.6">
      <c r="A1" s="1" t="s">
        <v>0</v>
      </c>
      <c r="B1" s="2" t="s">
        <v>1</v>
      </c>
      <c r="C1" s="2" t="s">
        <v>2</v>
      </c>
      <c r="D1" s="2" t="s">
        <v>3</v>
      </c>
    </row>
    <row r="2" spans="1:4" ht="15.6" thickBot="1" x14ac:dyDescent="0.6">
      <c r="A2" s="3" t="s">
        <v>4</v>
      </c>
      <c r="B2" s="5">
        <v>0.3</v>
      </c>
      <c r="C2" s="5">
        <v>0.1</v>
      </c>
      <c r="D2" s="5">
        <v>0.25</v>
      </c>
    </row>
    <row r="3" spans="1:4" ht="15.6" thickBot="1" x14ac:dyDescent="0.6">
      <c r="A3" s="3" t="s">
        <v>5</v>
      </c>
      <c r="B3" s="5">
        <v>0.3</v>
      </c>
      <c r="C3" s="5">
        <v>0.15</v>
      </c>
      <c r="D3" s="5">
        <v>0.11</v>
      </c>
    </row>
    <row r="4" spans="1:4" ht="15.6" thickBot="1" x14ac:dyDescent="0.6">
      <c r="A4" s="3" t="s">
        <v>6</v>
      </c>
      <c r="B4" s="5">
        <v>0.4</v>
      </c>
      <c r="C4" s="5">
        <v>0.2</v>
      </c>
      <c r="D4" s="5">
        <v>0.15</v>
      </c>
    </row>
    <row r="6" spans="1:4" ht="30.6" x14ac:dyDescent="0.55000000000000004">
      <c r="A6" s="6" t="s">
        <v>7</v>
      </c>
      <c r="C6">
        <f>SUMPRODUCT(B2:B4,C2:C4)</f>
        <v>0.15500000000000003</v>
      </c>
      <c r="D6">
        <f>SUMPRODUCT(B2:B4,D2:D4)</f>
        <v>0.16799999999999998</v>
      </c>
    </row>
    <row r="8" spans="1:4" ht="15.3" x14ac:dyDescent="0.55000000000000004">
      <c r="A8" s="6" t="s">
        <v>10</v>
      </c>
      <c r="C8" s="8" cm="1">
        <f t="array" ref="C8">SUMPRODUCT($B$2:$B$4, (C2:C4-C6)^2)</f>
        <v>1.7250000000000004E-3</v>
      </c>
      <c r="D8" s="8" cm="1">
        <f t="array" ref="D8">SUMPRODUCT($B$2:$B$4, (D2:D4-D6)^2)</f>
        <v>3.156E-3</v>
      </c>
    </row>
    <row r="9" spans="1:4" ht="15.3" x14ac:dyDescent="0.55000000000000004">
      <c r="A9" s="7" t="s">
        <v>9</v>
      </c>
      <c r="C9" s="8" cm="1">
        <f t="array" ref="C9">SUMPRODUCT(B2:B4, C2:C4-C6, D2:D4-D6)</f>
        <v>-1.5899999999999998E-3</v>
      </c>
      <c r="D9" s="4"/>
    </row>
    <row r="10" spans="1:4" x14ac:dyDescent="0.55000000000000004">
      <c r="C10" s="4"/>
      <c r="D10" s="4"/>
    </row>
    <row r="11" spans="1:4" ht="15.3" x14ac:dyDescent="0.55000000000000004">
      <c r="A11" s="6" t="s">
        <v>8</v>
      </c>
      <c r="C11" s="9">
        <f>SQRT(C8)</f>
        <v>4.1533119314590382E-2</v>
      </c>
      <c r="D11" s="9">
        <f>SQRT(D8)</f>
        <v>5.6178287620752554E-2</v>
      </c>
    </row>
    <row r="13" spans="1:4" x14ac:dyDescent="0.55000000000000004">
      <c r="A13" t="s">
        <v>11</v>
      </c>
      <c r="C13">
        <f>C9/(C11*D11)</f>
        <v>-0.68145012784499259</v>
      </c>
    </row>
    <row r="15" spans="1:4" x14ac:dyDescent="0.55000000000000004">
      <c r="A15" t="s">
        <v>15</v>
      </c>
      <c r="C15" t="s">
        <v>13</v>
      </c>
      <c r="D15" t="s">
        <v>14</v>
      </c>
    </row>
    <row r="16" spans="1:4" x14ac:dyDescent="0.55000000000000004">
      <c r="B16" t="s">
        <v>13</v>
      </c>
      <c r="C16" s="8">
        <f>C8</f>
        <v>1.7250000000000004E-3</v>
      </c>
      <c r="D16" s="8">
        <f>C9</f>
        <v>-1.5899999999999998E-3</v>
      </c>
    </row>
    <row r="17" spans="1:6" x14ac:dyDescent="0.55000000000000004">
      <c r="B17" t="s">
        <v>14</v>
      </c>
      <c r="C17" s="8">
        <f>C9</f>
        <v>-1.5899999999999998E-3</v>
      </c>
      <c r="D17" s="8">
        <f>D8</f>
        <v>3.156E-3</v>
      </c>
    </row>
    <row r="19" spans="1:6" x14ac:dyDescent="0.55000000000000004">
      <c r="A19" t="s">
        <v>12</v>
      </c>
      <c r="C19" t="s">
        <v>13</v>
      </c>
      <c r="D19" t="s">
        <v>14</v>
      </c>
    </row>
    <row r="20" spans="1:6" x14ac:dyDescent="0.55000000000000004">
      <c r="B20" t="s">
        <v>13</v>
      </c>
      <c r="C20">
        <v>1</v>
      </c>
      <c r="D20" s="8">
        <f>D16</f>
        <v>-1.5899999999999998E-3</v>
      </c>
    </row>
    <row r="21" spans="1:6" x14ac:dyDescent="0.55000000000000004">
      <c r="B21" t="s">
        <v>14</v>
      </c>
      <c r="C21" s="8">
        <f>C17</f>
        <v>-1.5899999999999998E-3</v>
      </c>
      <c r="D21">
        <v>1</v>
      </c>
    </row>
    <row r="23" spans="1:6" x14ac:dyDescent="0.55000000000000004">
      <c r="C23" t="s">
        <v>18</v>
      </c>
      <c r="D23" t="s">
        <v>19</v>
      </c>
    </row>
    <row r="24" spans="1:6" x14ac:dyDescent="0.55000000000000004">
      <c r="A24" t="s">
        <v>16</v>
      </c>
      <c r="C24">
        <v>0.2</v>
      </c>
      <c r="D24">
        <v>0.08</v>
      </c>
    </row>
    <row r="25" spans="1:6" x14ac:dyDescent="0.55000000000000004">
      <c r="A25" s="10" t="s">
        <v>17</v>
      </c>
    </row>
    <row r="26" spans="1:6" x14ac:dyDescent="0.55000000000000004">
      <c r="B26" t="s">
        <v>20</v>
      </c>
      <c r="C26" s="9">
        <f>C24*C6+D24*D6</f>
        <v>4.4440000000000007E-2</v>
      </c>
    </row>
    <row r="28" spans="1:6" x14ac:dyDescent="0.55000000000000004">
      <c r="A28" t="s">
        <v>21</v>
      </c>
      <c r="C28" s="9">
        <f>SQRT(C8*C24^2+D8*D24+2*C24*D24*C9)</f>
        <v>1.6449924011982552E-2</v>
      </c>
    </row>
    <row r="30" spans="1:6" x14ac:dyDescent="0.55000000000000004">
      <c r="C30" t="s">
        <v>18</v>
      </c>
      <c r="D30" t="s">
        <v>19</v>
      </c>
      <c r="E30" t="s">
        <v>22</v>
      </c>
      <c r="F30" t="s">
        <v>23</v>
      </c>
    </row>
    <row r="31" spans="1:6" x14ac:dyDescent="0.55000000000000004">
      <c r="C31">
        <v>0</v>
      </c>
      <c r="D31">
        <f>1-C31</f>
        <v>1</v>
      </c>
      <c r="E31" s="9">
        <f>C31^2*$C$8+D31^2*$D$8+C31*D31*$C$9</f>
        <v>3.156E-3</v>
      </c>
      <c r="F31" s="9">
        <f>C31*$C$8+D31*$D$8</f>
        <v>3.156E-3</v>
      </c>
    </row>
    <row r="32" spans="1:6" x14ac:dyDescent="0.55000000000000004">
      <c r="C32">
        <v>0.1</v>
      </c>
      <c r="D32">
        <f t="shared" ref="D32:D41" si="0">1-C32</f>
        <v>0.9</v>
      </c>
      <c r="E32" s="9">
        <f t="shared" ref="E32:E41" si="1">C32^2*$C$8+D32^2*$D$8+C32*D32*$C$9</f>
        <v>2.4305099999999999E-3</v>
      </c>
      <c r="F32" s="9">
        <f t="shared" ref="F32:F41" si="2">C32*$C$8+D32*$D$8</f>
        <v>3.0128999999999998E-3</v>
      </c>
    </row>
    <row r="33" spans="2:6" x14ac:dyDescent="0.55000000000000004">
      <c r="C33">
        <v>0.2</v>
      </c>
      <c r="D33">
        <f t="shared" si="0"/>
        <v>0.8</v>
      </c>
      <c r="E33" s="9">
        <f t="shared" si="1"/>
        <v>1.8344400000000001E-3</v>
      </c>
      <c r="F33" s="9">
        <f t="shared" si="2"/>
        <v>2.8698000000000005E-3</v>
      </c>
    </row>
    <row r="34" spans="2:6" x14ac:dyDescent="0.55000000000000004">
      <c r="C34">
        <v>0.3</v>
      </c>
      <c r="D34">
        <f t="shared" si="0"/>
        <v>0.7</v>
      </c>
      <c r="E34" s="9">
        <f t="shared" si="1"/>
        <v>1.3677899999999998E-3</v>
      </c>
      <c r="F34" s="9">
        <f t="shared" si="2"/>
        <v>2.7266999999999999E-3</v>
      </c>
    </row>
    <row r="35" spans="2:6" x14ac:dyDescent="0.55000000000000004">
      <c r="C35">
        <v>0.4</v>
      </c>
      <c r="D35">
        <f t="shared" si="0"/>
        <v>0.6</v>
      </c>
      <c r="E35" s="9">
        <f t="shared" si="1"/>
        <v>1.03056E-3</v>
      </c>
      <c r="F35" s="9">
        <f t="shared" si="2"/>
        <v>2.5836000000000001E-3</v>
      </c>
    </row>
    <row r="36" spans="2:6" x14ac:dyDescent="0.55000000000000004">
      <c r="C36">
        <v>0.5</v>
      </c>
      <c r="D36">
        <f t="shared" si="0"/>
        <v>0.5</v>
      </c>
      <c r="E36" s="9">
        <f t="shared" si="1"/>
        <v>8.2275000000000002E-4</v>
      </c>
      <c r="F36" s="9">
        <f t="shared" si="2"/>
        <v>2.4405E-3</v>
      </c>
    </row>
    <row r="37" spans="2:6" x14ac:dyDescent="0.55000000000000004">
      <c r="C37">
        <v>0.6</v>
      </c>
      <c r="D37">
        <f t="shared" si="0"/>
        <v>0.4</v>
      </c>
      <c r="E37" s="9">
        <f t="shared" si="1"/>
        <v>7.4436000000000012E-4</v>
      </c>
      <c r="F37" s="9">
        <f t="shared" si="2"/>
        <v>2.2974000000000002E-3</v>
      </c>
    </row>
    <row r="38" spans="2:6" x14ac:dyDescent="0.55000000000000004">
      <c r="C38">
        <v>0.7</v>
      </c>
      <c r="D38">
        <f t="shared" si="0"/>
        <v>0.30000000000000004</v>
      </c>
      <c r="E38" s="9">
        <f t="shared" si="1"/>
        <v>7.953900000000002E-4</v>
      </c>
      <c r="F38" s="9">
        <f t="shared" si="2"/>
        <v>2.1543000000000005E-3</v>
      </c>
    </row>
    <row r="39" spans="2:6" x14ac:dyDescent="0.55000000000000004">
      <c r="C39">
        <v>0.8</v>
      </c>
      <c r="D39">
        <f t="shared" si="0"/>
        <v>0.19999999999999996</v>
      </c>
      <c r="E39" s="9">
        <f t="shared" si="1"/>
        <v>9.7584000000000039E-4</v>
      </c>
      <c r="F39" s="9">
        <f t="shared" si="2"/>
        <v>2.0112000000000003E-3</v>
      </c>
    </row>
    <row r="40" spans="2:6" x14ac:dyDescent="0.55000000000000004">
      <c r="C40">
        <v>0.9</v>
      </c>
      <c r="D40">
        <f t="shared" si="0"/>
        <v>9.9999999999999978E-2</v>
      </c>
      <c r="E40" s="9">
        <f t="shared" si="1"/>
        <v>1.2857100000000005E-3</v>
      </c>
      <c r="F40" s="9">
        <f t="shared" si="2"/>
        <v>1.8681000000000004E-3</v>
      </c>
    </row>
    <row r="41" spans="2:6" x14ac:dyDescent="0.55000000000000004">
      <c r="C41">
        <v>1</v>
      </c>
      <c r="D41">
        <f t="shared" si="0"/>
        <v>0</v>
      </c>
      <c r="E41" s="9">
        <f t="shared" si="1"/>
        <v>1.7250000000000004E-3</v>
      </c>
      <c r="F41" s="9">
        <f t="shared" si="2"/>
        <v>1.7250000000000004E-3</v>
      </c>
    </row>
    <row r="43" spans="2:6" x14ac:dyDescent="0.55000000000000004">
      <c r="B43" t="s">
        <v>24</v>
      </c>
      <c r="C43" t="s">
        <v>13</v>
      </c>
      <c r="D43" t="s">
        <v>14</v>
      </c>
    </row>
    <row r="44" spans="2:6" x14ac:dyDescent="0.55000000000000004">
      <c r="B44" t="s">
        <v>25</v>
      </c>
      <c r="C44" s="8">
        <f>(D8-C9)/(C8+D8-2*C9)</f>
        <v>0.58876069966505407</v>
      </c>
      <c r="D44" s="8">
        <f>1-C44</f>
        <v>0.41123930033494593</v>
      </c>
    </row>
    <row r="46" spans="2:6" x14ac:dyDescent="0.55000000000000004">
      <c r="B46" t="s">
        <v>10</v>
      </c>
      <c r="C46" s="11">
        <f>C44^2*C8+D44^2*D8+C44*D44*C9</f>
        <v>7.467149651196566E-4</v>
      </c>
    </row>
    <row r="47" spans="2:6" x14ac:dyDescent="0.55000000000000004">
      <c r="B47" t="s">
        <v>8</v>
      </c>
      <c r="C47">
        <f>SQRT(C46)</f>
        <v>2.732608579946379E-2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Swastik Mallick</dc:creator>
  <cp:lastModifiedBy>Swastik Mallick</cp:lastModifiedBy>
  <dcterms:created xsi:type="dcterms:W3CDTF">2025-11-18T23:59:28Z</dcterms:created>
  <dcterms:modified xsi:type="dcterms:W3CDTF">2025-11-19T01:27:58Z</dcterms:modified>
</cp:coreProperties>
</file>