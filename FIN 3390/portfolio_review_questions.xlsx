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ma\Downloads\"/>
    </mc:Choice>
  </mc:AlternateContent>
  <xr:revisionPtr revIDLastSave="0" documentId="13_ncr:1_{97D57217-A270-4EF1-ABDE-613004C1EB5C}" xr6:coauthVersionLast="47" xr6:coauthVersionMax="47" xr10:uidLastSave="{00000000-0000-0000-0000-000000000000}"/>
  <bookViews>
    <workbookView xWindow="-78" yWindow="0" windowWidth="15348" windowHeight="12318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solver_adj" localSheetId="1" hidden="1">'2'!$G$8:$H$8</definedName>
    <definedName name="solver_adj" localSheetId="2" hidden="1">'3'!$B$13:$C$13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'2'!$I$8</definedName>
    <definedName name="solver_lhs1" localSheetId="2" hidden="1">'3'!$D$13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1</definedName>
    <definedName name="solver_nwt" localSheetId="1" hidden="1">1</definedName>
    <definedName name="solver_nwt" localSheetId="2" hidden="1">1</definedName>
    <definedName name="solver_opt" localSheetId="1" hidden="1">'2'!$G$9</definedName>
    <definedName name="solver_opt" localSheetId="2" hidden="1">'3'!$B$15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hs1" localSheetId="1" hidden="1">1</definedName>
    <definedName name="solver_rhs1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1" i="4"/>
  <c r="B9" i="4"/>
  <c r="B7" i="4"/>
  <c r="C14" i="5"/>
  <c r="C15" i="5"/>
  <c r="C16" i="5"/>
  <c r="C17" i="5"/>
  <c r="C18" i="5"/>
  <c r="C19" i="5"/>
  <c r="C20" i="5"/>
  <c r="C21" i="5"/>
  <c r="C22" i="5"/>
  <c r="C23" i="5"/>
  <c r="C13" i="5"/>
  <c r="C12" i="3"/>
  <c r="B8" i="2" a="1"/>
  <c r="B8" i="2" s="1"/>
  <c r="B7" i="5" a="1"/>
  <c r="B7" i="5" s="1"/>
  <c r="D12" i="3"/>
  <c r="G5" i="3"/>
  <c r="H3" i="3"/>
  <c r="G3" i="3"/>
  <c r="B8" i="5" a="1"/>
  <c r="B8" i="5" s="1"/>
  <c r="B9" i="3" a="1"/>
  <c r="B9" i="3" s="1"/>
  <c r="C8" i="1" a="1"/>
  <c r="C8" i="1" s="1"/>
  <c r="B8" i="1" a="1"/>
  <c r="B8" i="1" s="1"/>
  <c r="B9" i="1" a="1"/>
  <c r="B9" i="1" s="1"/>
  <c r="D13" i="3"/>
  <c r="D14" i="3"/>
  <c r="D15" i="3"/>
  <c r="D16" i="3"/>
  <c r="D17" i="3"/>
  <c r="D18" i="3"/>
  <c r="D19" i="3"/>
  <c r="D20" i="3"/>
  <c r="D21" i="3"/>
  <c r="B13" i="3"/>
  <c r="B14" i="3"/>
  <c r="B15" i="3"/>
  <c r="B16" i="3"/>
  <c r="B17" i="3"/>
  <c r="B18" i="3"/>
  <c r="B19" i="3"/>
  <c r="B20" i="3"/>
  <c r="B21" i="3"/>
  <c r="B12" i="3"/>
  <c r="C8" i="3" a="1"/>
  <c r="C8" i="3"/>
  <c r="B8" i="3" a="1"/>
  <c r="B8" i="3"/>
  <c r="C7" i="3"/>
  <c r="B7" i="3"/>
  <c r="B14" i="5"/>
  <c r="B15" i="5"/>
  <c r="B16" i="5"/>
  <c r="B17" i="5"/>
  <c r="B18" i="5"/>
  <c r="B19" i="5"/>
  <c r="B20" i="5"/>
  <c r="B21" i="5"/>
  <c r="B22" i="5"/>
  <c r="B23" i="5"/>
  <c r="B13" i="5"/>
  <c r="C7" i="5" a="1"/>
  <c r="C7" i="5"/>
  <c r="C6" i="5"/>
  <c r="B6" i="5"/>
  <c r="B13" i="2"/>
  <c r="B14" i="2"/>
  <c r="B15" i="2"/>
  <c r="B16" i="2"/>
  <c r="B17" i="2"/>
  <c r="B18" i="2"/>
  <c r="B19" i="2"/>
  <c r="B20" i="2"/>
  <c r="B21" i="2"/>
  <c r="B22" i="2"/>
  <c r="B12" i="2"/>
  <c r="B9" i="2" a="1"/>
  <c r="B9" i="2"/>
  <c r="C7" i="2"/>
  <c r="C8" i="2" a="1"/>
  <c r="C8" i="2"/>
  <c r="B7" i="2"/>
  <c r="D13" i="1"/>
  <c r="D14" i="1"/>
  <c r="D15" i="1"/>
  <c r="D16" i="1"/>
  <c r="D17" i="1"/>
  <c r="D18" i="1"/>
  <c r="D19" i="1"/>
  <c r="D20" i="1"/>
  <c r="D21" i="1"/>
  <c r="D22" i="1"/>
  <c r="D12" i="1"/>
  <c r="B13" i="1"/>
  <c r="B14" i="1"/>
  <c r="B15" i="1"/>
  <c r="B16" i="1"/>
  <c r="B17" i="1"/>
  <c r="B18" i="1"/>
  <c r="B19" i="1"/>
  <c r="B20" i="1"/>
  <c r="B21" i="1"/>
  <c r="B22" i="1"/>
  <c r="B12" i="1"/>
  <c r="C7" i="1"/>
  <c r="B7" i="1"/>
  <c r="D16" i="2" l="1"/>
  <c r="C14" i="2"/>
  <c r="C22" i="2"/>
  <c r="C16" i="2"/>
  <c r="C17" i="2"/>
  <c r="D21" i="2"/>
  <c r="F3" i="2"/>
  <c r="D17" i="2"/>
  <c r="C15" i="2"/>
  <c r="C12" i="2"/>
  <c r="D18" i="2"/>
  <c r="D13" i="2"/>
  <c r="C19" i="2"/>
  <c r="D14" i="2"/>
  <c r="C13" i="2"/>
  <c r="D19" i="2"/>
  <c r="C20" i="2"/>
  <c r="C21" i="2"/>
  <c r="D20" i="2"/>
  <c r="C18" i="2"/>
  <c r="D12" i="2"/>
  <c r="D22" i="2"/>
  <c r="D15" i="2"/>
  <c r="D20" i="5"/>
  <c r="D22" i="5"/>
  <c r="D21" i="5"/>
  <c r="D19" i="5"/>
  <c r="D14" i="5"/>
  <c r="D15" i="5"/>
  <c r="D23" i="5"/>
  <c r="D16" i="5"/>
  <c r="D13" i="5"/>
  <c r="D17" i="5"/>
  <c r="D18" i="5"/>
  <c r="F3" i="5"/>
  <c r="C17" i="1"/>
  <c r="C16" i="1"/>
  <c r="C18" i="1"/>
  <c r="C19" i="1"/>
  <c r="C15" i="1"/>
  <c r="C12" i="1"/>
  <c r="C20" i="1"/>
  <c r="C21" i="1"/>
  <c r="C13" i="1"/>
  <c r="C14" i="1"/>
  <c r="C22" i="1"/>
  <c r="F2" i="1"/>
  <c r="C17" i="3"/>
  <c r="C13" i="3"/>
  <c r="C18" i="3"/>
  <c r="C20" i="3"/>
  <c r="C14" i="3"/>
  <c r="C15" i="3"/>
  <c r="C19" i="3"/>
  <c r="C21" i="3"/>
  <c r="C16" i="3"/>
  <c r="G3" i="2" l="1"/>
  <c r="F5" i="2"/>
  <c r="G3" i="5"/>
  <c r="F5" i="5"/>
  <c r="G2" i="1"/>
  <c r="F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<sst xmlns="http://schemas.openxmlformats.org/spreadsheetml/2006/main" count="81" uniqueCount="47">
  <si>
    <t>Probability</t>
  </si>
  <si>
    <t>Returns on A</t>
  </si>
  <si>
    <t>Returns on B</t>
  </si>
  <si>
    <t>Asset X</t>
  </si>
  <si>
    <t>Asset Y</t>
  </si>
  <si>
    <t>State of the Economy</t>
  </si>
  <si>
    <r>
      <t>R</t>
    </r>
    <r>
      <rPr>
        <b/>
        <vertAlign val="subscript"/>
        <sz val="12"/>
        <color theme="1"/>
        <rFont val="Times New Roman"/>
        <family val="1"/>
      </rPr>
      <t>A</t>
    </r>
  </si>
  <si>
    <r>
      <t>R</t>
    </r>
    <r>
      <rPr>
        <b/>
        <vertAlign val="subscript"/>
        <sz val="12"/>
        <color theme="1"/>
        <rFont val="Times New Roman"/>
        <family val="1"/>
      </rPr>
      <t>B</t>
    </r>
  </si>
  <si>
    <t>Depression</t>
  </si>
  <si>
    <t>Recession</t>
  </si>
  <si>
    <t>Normal</t>
  </si>
  <si>
    <t>Boom</t>
  </si>
  <si>
    <t>X</t>
  </si>
  <si>
    <t>Y</t>
  </si>
  <si>
    <t>Z</t>
  </si>
  <si>
    <t>A</t>
  </si>
  <si>
    <t>Stock A</t>
  </si>
  <si>
    <t>Stock B</t>
  </si>
  <si>
    <t>VAR X</t>
  </si>
  <si>
    <t>std dev A</t>
  </si>
  <si>
    <t>Cov(y,z)</t>
  </si>
  <si>
    <t>Corr(x,a)</t>
  </si>
  <si>
    <t>Mean Return</t>
  </si>
  <si>
    <t>variance</t>
  </si>
  <si>
    <t>covarince</t>
  </si>
  <si>
    <t>weight A</t>
  </si>
  <si>
    <t>weight B</t>
  </si>
  <si>
    <t>Risk</t>
  </si>
  <si>
    <t>Return</t>
  </si>
  <si>
    <t>MVP</t>
  </si>
  <si>
    <t>B</t>
  </si>
  <si>
    <t>Weight</t>
  </si>
  <si>
    <t>FIND THE ATTAINABLE SET AND THE MVP</t>
  </si>
  <si>
    <t>VAR</t>
  </si>
  <si>
    <t>Mean</t>
  </si>
  <si>
    <t>COVAR</t>
  </si>
  <si>
    <t>Weight A</t>
  </si>
  <si>
    <t>Weight B</t>
  </si>
  <si>
    <t>Returns</t>
  </si>
  <si>
    <t>Weight Y</t>
  </si>
  <si>
    <t>Weight X</t>
  </si>
  <si>
    <t>Weight R_A</t>
  </si>
  <si>
    <t>Weight R_B</t>
  </si>
  <si>
    <t>R_A</t>
  </si>
  <si>
    <t>R_B</t>
  </si>
  <si>
    <t>.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</si>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</sst>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%"/>
    <numFmt numFmtId="166" formatCode="_(* #,##0.00000_);_(* \(#,##0.00000\);_(* &quot;-&quot;??_);_(@_)"/>
    <numFmt numFmtId="167" formatCode="_(&quot;$&quot;* #,##0.0000_);_(&quot;$&quot;* \(#,##0.0000\);_(&quot;$&quot;* &quot;-&quot;??_);_(@_)"/>
    <numFmt numFmtId="171" formatCode="0.0000"/>
    <numFmt numFmtId="172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justify" vertical="center"/>
    </xf>
    <xf numFmtId="9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0" fontId="0" fillId="0" borderId="0" xfId="2" applyNumberFormat="1" applyFont="1"/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6" fontId="0" fillId="0" borderId="0" xfId="0" applyNumberFormat="1"/>
    <xf numFmtId="43" fontId="0" fillId="0" borderId="0" xfId="1" applyFont="1"/>
    <xf numFmtId="43" fontId="0" fillId="0" borderId="0" xfId="0" applyNumberFormat="1"/>
    <xf numFmtId="9" fontId="0" fillId="0" borderId="0" xfId="0" applyNumberFormat="1"/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166" fontId="0" fillId="0" borderId="0" xfId="0" applyNumberFormat="1"/>
    <xf numFmtId="44" fontId="0" fillId="0" borderId="0" xfId="3" applyFont="1"/>
    <xf numFmtId="10" fontId="0" fillId="0" borderId="0" xfId="0" applyNumberFormat="1"/>
    <xf numFmtId="167" fontId="0" fillId="0" borderId="0" xfId="3" applyNumberFormat="1" applyFont="1"/>
    <xf numFmtId="164" fontId="0" fillId="0" borderId="0" xfId="2" applyNumberFormat="1" applyFont="1"/>
    <xf numFmtId="0" fontId="2" fillId="0" borderId="6" xfId="0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0" fontId="0" fillId="0" borderId="5" xfId="0" applyBorder="1"/>
    <xf numFmtId="9" fontId="0" fillId="0" borderId="5" xfId="0" applyNumberFormat="1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71" fontId="0" fillId="0" borderId="0" xfId="0" applyNumberFormat="1"/>
    <xf numFmtId="172" fontId="0" fillId="0" borderId="0" xfId="0" applyNumberFormat="1"/>
    <xf numFmtId="2" fontId="0" fillId="0" borderId="0" xfId="0" applyNumberForma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'1'!$C$12:$C$22</c:f>
              <c:numCache>
                <c:formatCode>_("$"* #,##0.00_);_("$"* \(#,##0.00\);_("$"* "-"??_);_(@_)</c:formatCode>
                <c:ptCount val="11"/>
                <c:pt idx="0">
                  <c:v>5.3068750000000005E-2</c:v>
                </c:pt>
                <c:pt idx="1">
                  <c:v>4.6862227500000006E-2</c:v>
                </c:pt>
                <c:pt idx="2">
                  <c:v>4.1043160000000009E-2</c:v>
                </c:pt>
                <c:pt idx="3">
                  <c:v>3.56115475E-2</c:v>
                </c:pt>
                <c:pt idx="4">
                  <c:v>3.056739E-2</c:v>
                </c:pt>
                <c:pt idx="5">
                  <c:v>2.5910687500000001E-2</c:v>
                </c:pt>
                <c:pt idx="6">
                  <c:v>2.1641440000000001E-2</c:v>
                </c:pt>
                <c:pt idx="7">
                  <c:v>1.7759647500000003E-2</c:v>
                </c:pt>
                <c:pt idx="8">
                  <c:v>1.426531E-2</c:v>
                </c:pt>
                <c:pt idx="9">
                  <c:v>1.11584275E-2</c:v>
                </c:pt>
                <c:pt idx="10">
                  <c:v>8.4390000000000003E-3</c:v>
                </c:pt>
              </c:numCache>
            </c:numRef>
          </c:xVal>
          <c:yVal>
            <c:numRef>
              <c:f>'1'!$D$12:$D$22</c:f>
              <c:numCache>
                <c:formatCode>0.00%</c:formatCode>
                <c:ptCount val="11"/>
                <c:pt idx="0">
                  <c:v>5.7500000000000002E-2</c:v>
                </c:pt>
                <c:pt idx="1">
                  <c:v>5.985E-2</c:v>
                </c:pt>
                <c:pt idx="2">
                  <c:v>6.2200000000000005E-2</c:v>
                </c:pt>
                <c:pt idx="3">
                  <c:v>6.4549999999999996E-2</c:v>
                </c:pt>
                <c:pt idx="4">
                  <c:v>6.6900000000000001E-2</c:v>
                </c:pt>
                <c:pt idx="5">
                  <c:v>6.9249999999999992E-2</c:v>
                </c:pt>
                <c:pt idx="6">
                  <c:v>7.1599999999999997E-2</c:v>
                </c:pt>
                <c:pt idx="7">
                  <c:v>7.3949999999999988E-2</c:v>
                </c:pt>
                <c:pt idx="8">
                  <c:v>7.6299999999999993E-2</c:v>
                </c:pt>
                <c:pt idx="9">
                  <c:v>7.8649999999999998E-2</c:v>
                </c:pt>
                <c:pt idx="10">
                  <c:v>8.0999999999999989E-2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C5-41D1-BABA-095C1C31B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371312"/>
        <c:axId val="914367472"/>
      </c:scatterChart>
      <c:valAx>
        <c:axId val="91437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67472"/>
        <c:crosses val="autoZero"/>
        <c:crossBetween val="midCat"/>
      </c:valAx>
      <c:valAx>
        <c:axId val="9143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7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'2'!$C$12:$C$22</c:f>
              <c:numCache>
                <c:formatCode>_("$"* #,##0.0000_);_("$"* \(#,##0.0000\);_("$"* "-"??_);_(@_)</c:formatCode>
                <c:ptCount val="11"/>
                <c:pt idx="0">
                  <c:v>1.6349999999999997E-3</c:v>
                </c:pt>
                <c:pt idx="1">
                  <c:v>1.2018899999999999E-3</c:v>
                </c:pt>
                <c:pt idx="2">
                  <c:v>8.6256000000000006E-4</c:v>
                </c:pt>
                <c:pt idx="3">
                  <c:v>6.1700999999999965E-4</c:v>
                </c:pt>
                <c:pt idx="4">
                  <c:v>4.652399999999999E-4</c:v>
                </c:pt>
                <c:pt idx="5">
                  <c:v>4.0724999999999995E-4</c:v>
                </c:pt>
                <c:pt idx="6">
                  <c:v>4.4304000000000001E-4</c:v>
                </c:pt>
                <c:pt idx="7">
                  <c:v>5.7260999999999987E-4</c:v>
                </c:pt>
                <c:pt idx="8">
                  <c:v>7.959600000000004E-4</c:v>
                </c:pt>
                <c:pt idx="9">
                  <c:v>1.1130900000000004E-3</c:v>
                </c:pt>
                <c:pt idx="10">
                  <c:v>1.5240000000000002E-3</c:v>
                </c:pt>
              </c:numCache>
            </c:numRef>
          </c:xVal>
          <c:yVal>
            <c:numRef>
              <c:f>'2'!$D$12:$D$22</c:f>
              <c:numCache>
                <c:formatCode>0.000%</c:formatCode>
                <c:ptCount val="11"/>
                <c:pt idx="0">
                  <c:v>1.6349999999999997E-3</c:v>
                </c:pt>
                <c:pt idx="1">
                  <c:v>1.6238999999999997E-3</c:v>
                </c:pt>
                <c:pt idx="2">
                  <c:v>1.6128E-3</c:v>
                </c:pt>
                <c:pt idx="3">
                  <c:v>1.6016999999999997E-3</c:v>
                </c:pt>
                <c:pt idx="4">
                  <c:v>1.5906E-3</c:v>
                </c:pt>
                <c:pt idx="5">
                  <c:v>1.5795E-3</c:v>
                </c:pt>
                <c:pt idx="6">
                  <c:v>1.5684000000000002E-3</c:v>
                </c:pt>
                <c:pt idx="7">
                  <c:v>1.5573000000000002E-3</c:v>
                </c:pt>
                <c:pt idx="8">
                  <c:v>1.5462E-3</c:v>
                </c:pt>
                <c:pt idx="9">
                  <c:v>1.5351000000000002E-3</c:v>
                </c:pt>
                <c:pt idx="10">
                  <c:v>1.5240000000000002E-3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1-4D20-83B0-17921D576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344432"/>
        <c:axId val="914334832"/>
      </c:scatterChart>
      <c:valAx>
        <c:axId val="91434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00_);_(&quot;$&quot;* \(#,##0.00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34832"/>
        <c:crosses val="autoZero"/>
        <c:crossBetween val="midCat"/>
      </c:valAx>
      <c:valAx>
        <c:axId val="9143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'3'!$C$12:$C$21</c:f>
              <c:numCache>
                <c:formatCode>0.00</c:formatCode>
                <c:ptCount val="10"/>
                <c:pt idx="0">
                  <c:v>1.3224999999999999E-2</c:v>
                </c:pt>
                <c:pt idx="1">
                  <c:v>1.0942250000000001E-2</c:v>
                </c:pt>
                <c:pt idx="2">
                  <c:v>1.0359000000000002E-2</c:v>
                </c:pt>
                <c:pt idx="3">
                  <c:v>1.1475249999999999E-2</c:v>
                </c:pt>
                <c:pt idx="4">
                  <c:v>1.4291000000000002E-2</c:v>
                </c:pt>
                <c:pt idx="5">
                  <c:v>1.880625E-2</c:v>
                </c:pt>
                <c:pt idx="6">
                  <c:v>2.5020999999999998E-2</c:v>
                </c:pt>
                <c:pt idx="7">
                  <c:v>3.2935249999999999E-2</c:v>
                </c:pt>
                <c:pt idx="8">
                  <c:v>4.254900000000001E-2</c:v>
                </c:pt>
                <c:pt idx="9">
                  <c:v>5.3862250000000007E-2</c:v>
                </c:pt>
              </c:numCache>
            </c:numRef>
          </c:xVal>
          <c:yVal>
            <c:numRef>
              <c:f>'3'!$D$12:$D$21</c:f>
              <c:numCache>
                <c:formatCode>0.000</c:formatCode>
                <c:ptCount val="10"/>
                <c:pt idx="0">
                  <c:v>1.3224999999999999E-2</c:v>
                </c:pt>
                <c:pt idx="1">
                  <c:v>1.8590000000000002E-2</c:v>
                </c:pt>
                <c:pt idx="2">
                  <c:v>2.3955000000000001E-2</c:v>
                </c:pt>
                <c:pt idx="3">
                  <c:v>2.9319999999999999E-2</c:v>
                </c:pt>
                <c:pt idx="4">
                  <c:v>3.4685000000000001E-2</c:v>
                </c:pt>
                <c:pt idx="5">
                  <c:v>4.0050000000000002E-2</c:v>
                </c:pt>
                <c:pt idx="6">
                  <c:v>4.5414999999999997E-2</c:v>
                </c:pt>
                <c:pt idx="7">
                  <c:v>5.0779999999999999E-2</c:v>
                </c:pt>
                <c:pt idx="8">
                  <c:v>5.6145000000000007E-2</c:v>
                </c:pt>
                <c:pt idx="9">
                  <c:v>6.1510000000000002E-2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7-4D34-894D-E253C8B66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680319"/>
        <c:axId val="1328689439"/>
      </c:scatterChart>
      <c:valAx>
        <c:axId val="132868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89439"/>
        <c:crosses val="autoZero"/>
        <c:crossBetween val="midCat"/>
      </c:valAx>
      <c:valAx>
        <c:axId val="13286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8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'5'!$C$13:$C$23</c:f>
              <c:numCache>
                <c:formatCode>0.0000</c:formatCode>
                <c:ptCount val="11"/>
                <c:pt idx="0">
                  <c:v>2.4244750000000002E-2</c:v>
                </c:pt>
                <c:pt idx="1">
                  <c:v>1.9835282500000002E-2</c:v>
                </c:pt>
                <c:pt idx="2">
                  <c:v>1.5873430000000004E-2</c:v>
                </c:pt>
                <c:pt idx="3">
                  <c:v>1.2359192499999999E-2</c:v>
                </c:pt>
                <c:pt idx="4">
                  <c:v>9.29257E-3</c:v>
                </c:pt>
                <c:pt idx="5">
                  <c:v>6.6735625000000007E-3</c:v>
                </c:pt>
                <c:pt idx="6">
                  <c:v>4.5021700000000015E-3</c:v>
                </c:pt>
                <c:pt idx="7">
                  <c:v>2.7783925000000008E-3</c:v>
                </c:pt>
                <c:pt idx="8">
                  <c:v>1.5022299999999996E-3</c:v>
                </c:pt>
                <c:pt idx="9">
                  <c:v>6.7368249999999984E-4</c:v>
                </c:pt>
                <c:pt idx="10">
                  <c:v>2.9274999999999993E-4</c:v>
                </c:pt>
              </c:numCache>
            </c:numRef>
          </c:xVal>
          <c:yVal>
            <c:numRef>
              <c:f>'5'!$D$13:$D$23</c:f>
              <c:numCache>
                <c:formatCode>General</c:formatCode>
                <c:ptCount val="11"/>
                <c:pt idx="0">
                  <c:v>2.4244750000000002E-2</c:v>
                </c:pt>
                <c:pt idx="1">
                  <c:v>2.1849550000000002E-2</c:v>
                </c:pt>
                <c:pt idx="2">
                  <c:v>1.9454350000000006E-2</c:v>
                </c:pt>
                <c:pt idx="3">
                  <c:v>1.7059149999999999E-2</c:v>
                </c:pt>
                <c:pt idx="4">
                  <c:v>1.466395E-2</c:v>
                </c:pt>
                <c:pt idx="5">
                  <c:v>1.2268750000000002E-2</c:v>
                </c:pt>
                <c:pt idx="6">
                  <c:v>9.8735500000000018E-3</c:v>
                </c:pt>
                <c:pt idx="7">
                  <c:v>7.4783500000000017E-3</c:v>
                </c:pt>
                <c:pt idx="8">
                  <c:v>5.0831499999999998E-3</c:v>
                </c:pt>
                <c:pt idx="9">
                  <c:v>2.6879499999999997E-3</c:v>
                </c:pt>
                <c:pt idx="10">
                  <c:v>2.9274999999999993E-4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A-4EA2-9148-A506B905C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702879"/>
        <c:axId val="1328701919"/>
      </c:scatterChart>
      <c:valAx>
        <c:axId val="132870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01919"/>
        <c:crosses val="autoZero"/>
        <c:crossBetween val="midCat"/>
      </c:valAx>
      <c:valAx>
        <c:axId val="13287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0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17463</xdr:colOff>
      <xdr:row>7</xdr:row>
      <xdr:rowOff>63500</xdr:rowOff>
    </xdr:from>
    <xdr:to>
      <xdr:col>10</xdr:col>
      <xdr:colOff>627063</xdr:colOff>
      <xdr:row>22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FF81D1-9EB6-9ABC-EE9C-DE2FFD022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6</xdr:row>
      <xdr:rowOff>180975</xdr:rowOff>
    </xdr:from>
    <xdr:to>
      <xdr:col>11</xdr:col>
      <xdr:colOff>41910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526D6-15E7-BC6E-A03D-23DCF0AF6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6</xdr:row>
      <xdr:rowOff>1905</xdr:rowOff>
    </xdr:from>
    <xdr:to>
      <xdr:col>12</xdr:col>
      <xdr:colOff>11430</xdr:colOff>
      <xdr:row>20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7414A-9101-036D-7514-C2F20EEC2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1905</xdr:rowOff>
    </xdr:from>
    <xdr:to>
      <xdr:col>12</xdr:col>
      <xdr:colOff>91440</xdr:colOff>
      <xdr:row>22</xdr:row>
      <xdr:rowOff>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77A81-1865-28AD-6B74-C33B0B588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120" zoomScaleNormal="120" workbookViewId="0">
      <selection activeCell="C8" sqref="C8"/>
    </sheetView>
  </sheetViews>
  <sheetFormatPr defaultRowHeight="14.4" x14ac:dyDescent="0.55000000000000004"/>
  <cols>
    <col min="1" max="3" width="11.1015625" customWidth="1"/>
    <col min="8" max="8" width="10.41796875" bestFit="1" customWidth="1"/>
  </cols>
  <sheetData>
    <row r="1" spans="1:9" ht="14.7" thickBot="1" x14ac:dyDescent="0.6">
      <c r="A1" s="1" t="s">
        <v>0</v>
      </c>
      <c r="B1" s="2" t="s">
        <v>1</v>
      </c>
      <c r="C1" s="2" t="s">
        <v>2</v>
      </c>
      <c r="E1" s="20" t="s">
        <v>29</v>
      </c>
      <c r="F1" s="20" t="s">
        <v>15</v>
      </c>
      <c r="G1" s="20" t="s">
        <v>30</v>
      </c>
      <c r="H1" s="20"/>
      <c r="I1" s="20"/>
    </row>
    <row r="2" spans="1:9" ht="14.7" thickBot="1" x14ac:dyDescent="0.6">
      <c r="A2" s="3">
        <v>0.2</v>
      </c>
      <c r="B2" s="4">
        <v>0.24</v>
      </c>
      <c r="C2" s="4">
        <v>0.45</v>
      </c>
      <c r="E2" s="21" t="s">
        <v>31</v>
      </c>
      <c r="F2" s="31">
        <f>(C8-B9)/(B8+C8-2*B9)</f>
        <v>1.6518692493321803</v>
      </c>
      <c r="G2" s="31">
        <f>1-F2</f>
        <v>-0.65186924933218027</v>
      </c>
      <c r="H2" s="22"/>
    </row>
    <row r="3" spans="1:9" ht="14.7" thickBot="1" x14ac:dyDescent="0.6">
      <c r="A3" s="3">
        <v>0.35</v>
      </c>
      <c r="B3" s="4">
        <v>0.09</v>
      </c>
      <c r="C3" s="4">
        <v>0.1</v>
      </c>
      <c r="E3" s="21"/>
      <c r="H3" s="22"/>
    </row>
    <row r="4" spans="1:9" ht="14.7" thickBot="1" x14ac:dyDescent="0.6">
      <c r="A4" s="3">
        <v>0.3</v>
      </c>
      <c r="B4" s="4">
        <v>0.03</v>
      </c>
      <c r="C4" s="4">
        <v>-0.1</v>
      </c>
      <c r="E4" s="21" t="s">
        <v>33</v>
      </c>
      <c r="F4">
        <f>F2^2*B8+G2^2*C8+2*F2*G2*B9</f>
        <v>2.068691848085627E-4</v>
      </c>
      <c r="H4" s="22"/>
    </row>
    <row r="5" spans="1:9" ht="14.7" thickBot="1" x14ac:dyDescent="0.6">
      <c r="A5" s="3">
        <v>0.15</v>
      </c>
      <c r="B5" s="4">
        <v>-0.05</v>
      </c>
      <c r="C5" s="4">
        <v>-0.25</v>
      </c>
      <c r="E5" s="21"/>
      <c r="H5" s="22"/>
    </row>
    <row r="7" spans="1:9" x14ac:dyDescent="0.55000000000000004">
      <c r="A7" t="s">
        <v>22</v>
      </c>
      <c r="B7" s="19">
        <f>SUMPRODUCT($A$2:$A$5, B2:B5)</f>
        <v>8.0999999999999989E-2</v>
      </c>
      <c r="C7" s="19">
        <f>SUMPRODUCT($A$2:$A$5, C2:C5)</f>
        <v>5.7500000000000002E-2</v>
      </c>
    </row>
    <row r="8" spans="1:9" x14ac:dyDescent="0.55000000000000004">
      <c r="A8" t="s">
        <v>23</v>
      </c>
      <c r="B8" s="19" cm="1">
        <f t="array" ref="B8">SUMPRODUCT($A$2:$A$5, (B2:B5 - B7)^2)</f>
        <v>8.4390000000000003E-3</v>
      </c>
      <c r="C8" s="19" cm="1">
        <f t="array" ref="C8">SUMPRODUCT($A$2:$A$5, (C2:C5 - C7)^2)</f>
        <v>5.3068750000000005E-2</v>
      </c>
    </row>
    <row r="9" spans="1:9" x14ac:dyDescent="0.55000000000000004">
      <c r="A9" t="s">
        <v>24</v>
      </c>
      <c r="B9" s="19" cm="1">
        <f t="array" ref="B9">SUMPRODUCT(A2:A5, B2:B5-B7, C2:C5-C7)</f>
        <v>2.1067499999999999E-2</v>
      </c>
      <c r="C9" s="19"/>
    </row>
    <row r="11" spans="1:9" x14ac:dyDescent="0.55000000000000004">
      <c r="A11" t="s">
        <v>25</v>
      </c>
      <c r="B11" t="s">
        <v>26</v>
      </c>
      <c r="C11" t="s">
        <v>27</v>
      </c>
      <c r="D11" t="s">
        <v>28</v>
      </c>
    </row>
    <row r="12" spans="1:9" x14ac:dyDescent="0.55000000000000004">
      <c r="A12">
        <v>0</v>
      </c>
      <c r="B12">
        <f>1-A12</f>
        <v>1</v>
      </c>
      <c r="C12" s="30">
        <f>A12^2*$B$8+B12^2*$C$8+2*A12*B12*$B$9</f>
        <v>5.3068750000000005E-2</v>
      </c>
      <c r="D12" s="19">
        <f>A12*$B$7+B12*$C$7</f>
        <v>5.7500000000000002E-2</v>
      </c>
    </row>
    <row r="13" spans="1:9" x14ac:dyDescent="0.55000000000000004">
      <c r="A13">
        <v>0.1</v>
      </c>
      <c r="B13">
        <f t="shared" ref="B13:B22" si="0">1-A13</f>
        <v>0.9</v>
      </c>
      <c r="C13" s="30">
        <f t="shared" ref="C13:C22" si="1">A13^2*$B$8+B13^2*$C$8+2*A13*B13*$B$9</f>
        <v>4.6862227500000006E-2</v>
      </c>
      <c r="D13" s="19">
        <f t="shared" ref="D13:D22" si="2">A13*$B$7+B13*$C$7</f>
        <v>5.985E-2</v>
      </c>
    </row>
    <row r="14" spans="1:9" x14ac:dyDescent="0.55000000000000004">
      <c r="A14">
        <v>0.2</v>
      </c>
      <c r="B14">
        <f t="shared" si="0"/>
        <v>0.8</v>
      </c>
      <c r="C14" s="30">
        <f t="shared" si="1"/>
        <v>4.1043160000000009E-2</v>
      </c>
      <c r="D14" s="19">
        <f t="shared" si="2"/>
        <v>6.2200000000000005E-2</v>
      </c>
    </row>
    <row r="15" spans="1:9" x14ac:dyDescent="0.55000000000000004">
      <c r="A15">
        <v>0.3</v>
      </c>
      <c r="B15">
        <f t="shared" si="0"/>
        <v>0.7</v>
      </c>
      <c r="C15" s="30">
        <f t="shared" si="1"/>
        <v>3.56115475E-2</v>
      </c>
      <c r="D15" s="19">
        <f t="shared" si="2"/>
        <v>6.4549999999999996E-2</v>
      </c>
    </row>
    <row r="16" spans="1:9" x14ac:dyDescent="0.55000000000000004">
      <c r="A16">
        <v>0.4</v>
      </c>
      <c r="B16">
        <f t="shared" si="0"/>
        <v>0.6</v>
      </c>
      <c r="C16" s="30">
        <f t="shared" si="1"/>
        <v>3.056739E-2</v>
      </c>
      <c r="D16" s="19">
        <f t="shared" si="2"/>
        <v>6.6900000000000001E-2</v>
      </c>
    </row>
    <row r="17" spans="1:4" x14ac:dyDescent="0.55000000000000004">
      <c r="A17">
        <v>0.5</v>
      </c>
      <c r="B17">
        <f t="shared" si="0"/>
        <v>0.5</v>
      </c>
      <c r="C17" s="30">
        <f t="shared" si="1"/>
        <v>2.5910687500000001E-2</v>
      </c>
      <c r="D17" s="19">
        <f t="shared" si="2"/>
        <v>6.9249999999999992E-2</v>
      </c>
    </row>
    <row r="18" spans="1:4" x14ac:dyDescent="0.55000000000000004">
      <c r="A18">
        <v>0.6</v>
      </c>
      <c r="B18">
        <f t="shared" si="0"/>
        <v>0.4</v>
      </c>
      <c r="C18" s="30">
        <f t="shared" si="1"/>
        <v>2.1641440000000001E-2</v>
      </c>
      <c r="D18" s="19">
        <f t="shared" si="2"/>
        <v>7.1599999999999997E-2</v>
      </c>
    </row>
    <row r="19" spans="1:4" x14ac:dyDescent="0.55000000000000004">
      <c r="A19">
        <v>0.7</v>
      </c>
      <c r="B19">
        <f t="shared" si="0"/>
        <v>0.30000000000000004</v>
      </c>
      <c r="C19" s="30">
        <f t="shared" si="1"/>
        <v>1.7759647500000003E-2</v>
      </c>
      <c r="D19" s="19">
        <f t="shared" si="2"/>
        <v>7.3949999999999988E-2</v>
      </c>
    </row>
    <row r="20" spans="1:4" x14ac:dyDescent="0.55000000000000004">
      <c r="A20">
        <v>0.8</v>
      </c>
      <c r="B20">
        <f t="shared" si="0"/>
        <v>0.19999999999999996</v>
      </c>
      <c r="C20" s="30">
        <f t="shared" si="1"/>
        <v>1.426531E-2</v>
      </c>
      <c r="D20" s="19">
        <f t="shared" si="2"/>
        <v>7.6299999999999993E-2</v>
      </c>
    </row>
    <row r="21" spans="1:4" x14ac:dyDescent="0.55000000000000004">
      <c r="A21">
        <v>0.9</v>
      </c>
      <c r="B21">
        <f t="shared" si="0"/>
        <v>9.9999999999999978E-2</v>
      </c>
      <c r="C21" s="30">
        <f t="shared" si="1"/>
        <v>1.11584275E-2</v>
      </c>
      <c r="D21" s="19">
        <f t="shared" si="2"/>
        <v>7.8649999999999998E-2</v>
      </c>
    </row>
    <row r="22" spans="1:4" x14ac:dyDescent="0.55000000000000004">
      <c r="A22">
        <v>1</v>
      </c>
      <c r="B22">
        <f t="shared" si="0"/>
        <v>0</v>
      </c>
      <c r="C22" s="30">
        <f t="shared" si="1"/>
        <v>8.4390000000000003E-3</v>
      </c>
      <c r="D22" s="19">
        <f t="shared" si="2"/>
        <v>8.0999999999999989E-2</v>
      </c>
    </row>
    <row r="24" spans="1:4" x14ac:dyDescent="0.55000000000000004">
      <c r="B24" s="23"/>
      <c r="C24" s="23"/>
    </row>
    <row r="25" spans="1:4" x14ac:dyDescent="0.55000000000000004">
      <c r="B25" s="24"/>
      <c r="C25" s="24"/>
    </row>
    <row r="27" spans="1:4" x14ac:dyDescent="0.55000000000000004">
      <c r="B27" s="19"/>
    </row>
    <row r="28" spans="1:4" x14ac:dyDescent="0.55000000000000004">
      <c r="B28" s="25"/>
    </row>
    <row r="29" spans="1:4" x14ac:dyDescent="0.55000000000000004">
      <c r="B29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B8" sqref="B8"/>
    </sheetView>
  </sheetViews>
  <sheetFormatPr defaultRowHeight="14.4" x14ac:dyDescent="0.55000000000000004"/>
  <cols>
    <col min="1" max="3" width="14.83984375" customWidth="1"/>
    <col min="5" max="5" width="8.68359375" bestFit="1" customWidth="1"/>
    <col min="7" max="7" width="10" bestFit="1" customWidth="1"/>
  </cols>
  <sheetData>
    <row r="1" spans="1:9" ht="14.7" customHeight="1" thickBot="1" x14ac:dyDescent="0.6">
      <c r="A1" s="1" t="s">
        <v>0</v>
      </c>
      <c r="B1" s="2" t="s">
        <v>3</v>
      </c>
      <c r="C1" s="2" t="s">
        <v>4</v>
      </c>
      <c r="E1" s="38" t="s">
        <v>32</v>
      </c>
      <c r="F1" s="38"/>
      <c r="G1" s="38"/>
      <c r="H1" s="38"/>
      <c r="I1" s="20"/>
    </row>
    <row r="2" spans="1:9" ht="14.7" thickBot="1" x14ac:dyDescent="0.6">
      <c r="A2" s="5">
        <v>0.25</v>
      </c>
      <c r="B2" s="4">
        <v>0.1</v>
      </c>
      <c r="C2" s="4">
        <v>0.2</v>
      </c>
      <c r="E2" s="26" t="s">
        <v>29</v>
      </c>
      <c r="F2" t="s">
        <v>12</v>
      </c>
      <c r="G2" t="s">
        <v>13</v>
      </c>
      <c r="H2" s="26"/>
    </row>
    <row r="3" spans="1:9" ht="14.7" thickBot="1" x14ac:dyDescent="0.6">
      <c r="A3" s="5">
        <v>0.3</v>
      </c>
      <c r="B3" s="4">
        <v>0.14000000000000001</v>
      </c>
      <c r="C3" s="4">
        <v>0.18</v>
      </c>
      <c r="E3" s="26" t="s">
        <v>31</v>
      </c>
      <c r="F3">
        <f>(C8-B9)/(B8+C8-2*B9)</f>
        <v>0.50892426435118177</v>
      </c>
      <c r="G3">
        <f>1-F3</f>
        <v>0.49107573564881823</v>
      </c>
      <c r="H3" s="26"/>
    </row>
    <row r="4" spans="1:9" ht="14.7" thickBot="1" x14ac:dyDescent="0.6">
      <c r="A4" s="5">
        <v>0.15</v>
      </c>
      <c r="B4" s="4">
        <v>0.18</v>
      </c>
      <c r="C4" s="4">
        <v>0.14000000000000001</v>
      </c>
      <c r="E4" s="26"/>
      <c r="H4" s="26"/>
    </row>
    <row r="5" spans="1:9" ht="14.7" thickBot="1" x14ac:dyDescent="0.6">
      <c r="A5" s="5">
        <v>0.3</v>
      </c>
      <c r="B5" s="4">
        <v>0.2</v>
      </c>
      <c r="C5" s="4">
        <v>0.1</v>
      </c>
      <c r="E5" s="26" t="s">
        <v>33</v>
      </c>
      <c r="F5">
        <f>F3^2*B8+G3^2*C8+F3*G3*B9</f>
        <v>4.0663285031236846E-4</v>
      </c>
      <c r="H5" s="26"/>
    </row>
    <row r="7" spans="1:9" x14ac:dyDescent="0.55000000000000004">
      <c r="A7" t="s">
        <v>34</v>
      </c>
      <c r="B7">
        <f>SUMPRODUCT($A$2:$A$5,B2:B5)</f>
        <v>0.154</v>
      </c>
      <c r="C7">
        <f>SUMPRODUCT($A$2:$A$5,C2:C5)</f>
        <v>0.155</v>
      </c>
    </row>
    <row r="8" spans="1:9" x14ac:dyDescent="0.55000000000000004">
      <c r="A8" t="s">
        <v>33</v>
      </c>
      <c r="B8" cm="1">
        <f t="array" ref="B8">SUMPRODUCT($A$2:$A$5,(B2:B5-B7)^2)</f>
        <v>1.5240000000000002E-3</v>
      </c>
      <c r="C8" cm="1">
        <f t="array" ref="C8">SUMPRODUCT($A$2:$A$5,(C2:C5-C7)^2)</f>
        <v>1.6349999999999997E-3</v>
      </c>
    </row>
    <row r="9" spans="1:9" x14ac:dyDescent="0.55000000000000004">
      <c r="A9" t="s">
        <v>35</v>
      </c>
      <c r="B9" cm="1">
        <f t="array" ref="B9">SUMPRODUCT(A2:A5, B2:B5-B7, C2:C5-C7)</f>
        <v>-1.5300000000000001E-3</v>
      </c>
    </row>
    <row r="11" spans="1:9" x14ac:dyDescent="0.55000000000000004">
      <c r="A11" t="s">
        <v>40</v>
      </c>
      <c r="B11" t="s">
        <v>39</v>
      </c>
      <c r="C11" t="s">
        <v>27</v>
      </c>
      <c r="D11" t="s">
        <v>28</v>
      </c>
      <c r="G11" s="19"/>
    </row>
    <row r="12" spans="1:9" x14ac:dyDescent="0.55000000000000004">
      <c r="A12">
        <v>0</v>
      </c>
      <c r="B12">
        <f>1-A12</f>
        <v>1</v>
      </c>
      <c r="C12" s="32">
        <f>A12^2*$B$8+B12^2*$C$8+A12*B12*$B$9</f>
        <v>1.6349999999999997E-3</v>
      </c>
      <c r="D12" s="33">
        <f>A12*$B$8+B12*$C$8</f>
        <v>1.6349999999999997E-3</v>
      </c>
    </row>
    <row r="13" spans="1:9" x14ac:dyDescent="0.55000000000000004">
      <c r="A13">
        <v>0.1</v>
      </c>
      <c r="B13">
        <f t="shared" ref="B13:B22" si="0">1-A13</f>
        <v>0.9</v>
      </c>
      <c r="C13" s="32">
        <f t="shared" ref="C13:C22" si="1">A13^2*$B$8+B13^2*$C$8+A13*B13*$B$9</f>
        <v>1.2018899999999999E-3</v>
      </c>
      <c r="D13" s="33">
        <f t="shared" ref="D13:D22" si="2">A13*$B$8+B13*$C$8</f>
        <v>1.6238999999999997E-3</v>
      </c>
    </row>
    <row r="14" spans="1:9" x14ac:dyDescent="0.55000000000000004">
      <c r="A14">
        <v>0.2</v>
      </c>
      <c r="B14">
        <f t="shared" si="0"/>
        <v>0.8</v>
      </c>
      <c r="C14" s="32">
        <f t="shared" si="1"/>
        <v>8.6256000000000006E-4</v>
      </c>
      <c r="D14" s="33">
        <f t="shared" si="2"/>
        <v>1.6128E-3</v>
      </c>
    </row>
    <row r="15" spans="1:9" x14ac:dyDescent="0.55000000000000004">
      <c r="A15">
        <v>0.3</v>
      </c>
      <c r="B15">
        <f t="shared" si="0"/>
        <v>0.7</v>
      </c>
      <c r="C15" s="32">
        <f t="shared" si="1"/>
        <v>6.1700999999999965E-4</v>
      </c>
      <c r="D15" s="33">
        <f t="shared" si="2"/>
        <v>1.6016999999999997E-3</v>
      </c>
    </row>
    <row r="16" spans="1:9" x14ac:dyDescent="0.55000000000000004">
      <c r="A16">
        <v>0.4</v>
      </c>
      <c r="B16">
        <f t="shared" si="0"/>
        <v>0.6</v>
      </c>
      <c r="C16" s="32">
        <f t="shared" si="1"/>
        <v>4.652399999999999E-4</v>
      </c>
      <c r="D16" s="33">
        <f t="shared" si="2"/>
        <v>1.5906E-3</v>
      </c>
    </row>
    <row r="17" spans="1:4" x14ac:dyDescent="0.55000000000000004">
      <c r="A17">
        <v>0.5</v>
      </c>
      <c r="B17">
        <f t="shared" si="0"/>
        <v>0.5</v>
      </c>
      <c r="C17" s="32">
        <f t="shared" si="1"/>
        <v>4.0724999999999995E-4</v>
      </c>
      <c r="D17" s="33">
        <f t="shared" si="2"/>
        <v>1.5795E-3</v>
      </c>
    </row>
    <row r="18" spans="1:4" x14ac:dyDescent="0.55000000000000004">
      <c r="A18">
        <v>0.6</v>
      </c>
      <c r="B18">
        <f t="shared" si="0"/>
        <v>0.4</v>
      </c>
      <c r="C18" s="32">
        <f t="shared" si="1"/>
        <v>4.4304000000000001E-4</v>
      </c>
      <c r="D18" s="33">
        <f t="shared" si="2"/>
        <v>1.5684000000000002E-3</v>
      </c>
    </row>
    <row r="19" spans="1:4" x14ac:dyDescent="0.55000000000000004">
      <c r="A19">
        <v>0.7</v>
      </c>
      <c r="B19">
        <f t="shared" si="0"/>
        <v>0.30000000000000004</v>
      </c>
      <c r="C19" s="32">
        <f t="shared" si="1"/>
        <v>5.7260999999999987E-4</v>
      </c>
      <c r="D19" s="33">
        <f t="shared" si="2"/>
        <v>1.5573000000000002E-3</v>
      </c>
    </row>
    <row r="20" spans="1:4" x14ac:dyDescent="0.55000000000000004">
      <c r="A20">
        <v>0.8</v>
      </c>
      <c r="B20">
        <f t="shared" si="0"/>
        <v>0.19999999999999996</v>
      </c>
      <c r="C20" s="32">
        <f t="shared" si="1"/>
        <v>7.959600000000004E-4</v>
      </c>
      <c r="D20" s="33">
        <f t="shared" si="2"/>
        <v>1.5462E-3</v>
      </c>
    </row>
    <row r="21" spans="1:4" x14ac:dyDescent="0.55000000000000004">
      <c r="A21">
        <v>0.9</v>
      </c>
      <c r="B21">
        <f t="shared" si="0"/>
        <v>9.9999999999999978E-2</v>
      </c>
      <c r="C21" s="32">
        <f t="shared" si="1"/>
        <v>1.1130900000000004E-3</v>
      </c>
      <c r="D21" s="33">
        <f t="shared" si="2"/>
        <v>1.5351000000000002E-3</v>
      </c>
    </row>
    <row r="22" spans="1:4" x14ac:dyDescent="0.55000000000000004">
      <c r="A22">
        <v>1</v>
      </c>
      <c r="B22">
        <f t="shared" si="0"/>
        <v>0</v>
      </c>
      <c r="C22" s="32">
        <f t="shared" si="1"/>
        <v>1.5240000000000002E-3</v>
      </c>
      <c r="D22" s="33">
        <f t="shared" si="2"/>
        <v>1.5240000000000002E-3</v>
      </c>
    </row>
  </sheetData>
  <mergeCells count="1">
    <mergeCell ref="E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selection activeCell="C12" sqref="C12"/>
    </sheetView>
  </sheetViews>
  <sheetFormatPr defaultRowHeight="14.4" x14ac:dyDescent="0.55000000000000004"/>
  <cols>
    <col min="1" max="1" width="17.26171875" bestFit="1" customWidth="1"/>
    <col min="2" max="2" width="11.578125" bestFit="1" customWidth="1"/>
    <col min="3" max="3" width="9.15625" bestFit="1" customWidth="1"/>
    <col min="7" max="7" width="9.83984375" customWidth="1"/>
  </cols>
  <sheetData>
    <row r="1" spans="1:9" ht="18.3" thickBot="1" x14ac:dyDescent="0.6">
      <c r="A1" s="6" t="s">
        <v>5</v>
      </c>
      <c r="B1" s="7" t="s">
        <v>6</v>
      </c>
      <c r="C1" s="34" t="s">
        <v>7</v>
      </c>
      <c r="D1" s="36" t="s">
        <v>0</v>
      </c>
      <c r="F1" s="38" t="s">
        <v>32</v>
      </c>
      <c r="G1" s="38"/>
      <c r="H1" s="38"/>
      <c r="I1" s="38"/>
    </row>
    <row r="2" spans="1:9" ht="15.6" thickBot="1" x14ac:dyDescent="0.6">
      <c r="A2" s="8" t="s">
        <v>8</v>
      </c>
      <c r="B2" s="9">
        <v>-0.2</v>
      </c>
      <c r="C2" s="35">
        <v>0.05</v>
      </c>
      <c r="D2" s="37">
        <v>0.25</v>
      </c>
      <c r="F2" s="21" t="s">
        <v>29</v>
      </c>
      <c r="G2" t="s">
        <v>43</v>
      </c>
      <c r="H2" t="s">
        <v>44</v>
      </c>
      <c r="I2" s="21"/>
    </row>
    <row r="3" spans="1:9" ht="15.6" thickBot="1" x14ac:dyDescent="0.6">
      <c r="A3" s="8" t="s">
        <v>9</v>
      </c>
      <c r="B3" s="9">
        <v>0.1</v>
      </c>
      <c r="C3" s="35">
        <v>0.2</v>
      </c>
      <c r="D3" s="37">
        <v>0.25</v>
      </c>
      <c r="F3" s="21" t="s">
        <v>46</v>
      </c>
      <c r="G3" s="43">
        <f>(C8-B9)/(B8+C8-2*B9)</f>
        <v>0.20144685587089592</v>
      </c>
      <c r="H3" s="43">
        <f>1-G3</f>
        <v>0.79855314412910405</v>
      </c>
      <c r="I3" s="21"/>
    </row>
    <row r="4" spans="1:9" ht="15.6" thickBot="1" x14ac:dyDescent="0.6">
      <c r="A4" s="8" t="s">
        <v>10</v>
      </c>
      <c r="B4" s="9">
        <v>0.3</v>
      </c>
      <c r="C4" s="35">
        <v>-0.12</v>
      </c>
      <c r="D4" s="37">
        <v>0.25</v>
      </c>
      <c r="F4" s="21"/>
      <c r="I4" s="21"/>
    </row>
    <row r="5" spans="1:9" ht="15.6" thickBot="1" x14ac:dyDescent="0.6">
      <c r="A5" s="8" t="s">
        <v>11</v>
      </c>
      <c r="B5" s="9">
        <v>0.5</v>
      </c>
      <c r="C5" s="35">
        <v>0.09</v>
      </c>
      <c r="D5" s="37">
        <v>0.25</v>
      </c>
      <c r="F5" s="21" t="s">
        <v>33</v>
      </c>
      <c r="G5" s="43">
        <f>G3^2*B8+H3^2*C8+B8*C8*B9</f>
        <v>1.1142944048369763E-2</v>
      </c>
      <c r="I5" s="21"/>
    </row>
    <row r="7" spans="1:9" ht="15.3" x14ac:dyDescent="0.55000000000000004">
      <c r="A7" s="27" t="s">
        <v>34</v>
      </c>
      <c r="B7" s="19">
        <f>SUMPRODUCT($D$2:$D$5, B2:B5)</f>
        <v>0.17499999999999999</v>
      </c>
      <c r="C7" s="19">
        <f>SUMPRODUCT($D$2:$D$5, C2:C5)</f>
        <v>5.5E-2</v>
      </c>
    </row>
    <row r="8" spans="1:9" ht="15.3" x14ac:dyDescent="0.55000000000000004">
      <c r="A8" s="27" t="s">
        <v>33</v>
      </c>
      <c r="B8" s="19" cm="1">
        <f t="array" ref="B8">SUMPRODUCT($D$2:$D$5, (B2:B5-B7)^2)</f>
        <v>6.6875000000000004E-2</v>
      </c>
      <c r="C8" s="19" cm="1">
        <f t="array" ref="C8">SUMPRODUCT($D$2:$D$5, (C2:C5-C7)^2)</f>
        <v>1.3224999999999999E-2</v>
      </c>
      <c r="I8" t="s">
        <v>45</v>
      </c>
    </row>
    <row r="9" spans="1:9" ht="15.3" x14ac:dyDescent="0.55000000000000004">
      <c r="A9" s="27" t="s">
        <v>35</v>
      </c>
      <c r="B9" s="22" cm="1">
        <f t="array" ref="B9">SUMPRODUCT(D2:D5, B2:B5-B7, C2:C5-C7)</f>
        <v>-4.875E-3</v>
      </c>
    </row>
    <row r="10" spans="1:9" ht="15.3" x14ac:dyDescent="0.55000000000000004">
      <c r="A10" s="27"/>
    </row>
    <row r="11" spans="1:9" ht="15.3" x14ac:dyDescent="0.55000000000000004">
      <c r="A11" s="27" t="s">
        <v>41</v>
      </c>
      <c r="B11" t="s">
        <v>42</v>
      </c>
      <c r="C11" t="s">
        <v>27</v>
      </c>
      <c r="D11" t="s">
        <v>28</v>
      </c>
    </row>
    <row r="12" spans="1:9" x14ac:dyDescent="0.55000000000000004">
      <c r="A12" s="39">
        <v>0</v>
      </c>
      <c r="B12">
        <f>1-A12</f>
        <v>1</v>
      </c>
      <c r="C12" s="43">
        <f>A12^2*$B$8+B12^2*$C$8+A12*B12*$B$9</f>
        <v>1.3224999999999999E-2</v>
      </c>
      <c r="D12" s="42">
        <f>A12*$B$8+B12*$C$8</f>
        <v>1.3224999999999999E-2</v>
      </c>
    </row>
    <row r="13" spans="1:9" ht="15.3" x14ac:dyDescent="0.55000000000000004">
      <c r="A13" s="40">
        <v>0.1</v>
      </c>
      <c r="B13">
        <f t="shared" ref="B13:B21" si="0">1-A13</f>
        <v>0.9</v>
      </c>
      <c r="C13" s="43">
        <f t="shared" ref="C13:C21" si="1">A13^2*$B$8+B13^2*$C$8+A13*B13*$B$9</f>
        <v>1.0942250000000001E-2</v>
      </c>
      <c r="D13" s="42">
        <f t="shared" ref="D13:D21" si="2">A13*$B$8+B13*$C$8</f>
        <v>1.8590000000000002E-2</v>
      </c>
    </row>
    <row r="14" spans="1:9" ht="15.3" x14ac:dyDescent="0.55000000000000004">
      <c r="A14" s="40">
        <v>0.2</v>
      </c>
      <c r="B14">
        <f t="shared" si="0"/>
        <v>0.8</v>
      </c>
      <c r="C14" s="43">
        <f t="shared" si="1"/>
        <v>1.0359000000000002E-2</v>
      </c>
      <c r="D14" s="42">
        <f t="shared" si="2"/>
        <v>2.3955000000000001E-2</v>
      </c>
    </row>
    <row r="15" spans="1:9" ht="15.3" x14ac:dyDescent="0.55000000000000004">
      <c r="A15" s="40">
        <v>0.3</v>
      </c>
      <c r="B15">
        <f t="shared" si="0"/>
        <v>0.7</v>
      </c>
      <c r="C15" s="43">
        <f t="shared" si="1"/>
        <v>1.1475249999999999E-2</v>
      </c>
      <c r="D15" s="42">
        <f t="shared" si="2"/>
        <v>2.9319999999999999E-2</v>
      </c>
    </row>
    <row r="16" spans="1:9" ht="15.3" x14ac:dyDescent="0.55000000000000004">
      <c r="A16" s="40">
        <v>0.4</v>
      </c>
      <c r="B16">
        <f t="shared" si="0"/>
        <v>0.6</v>
      </c>
      <c r="C16" s="43">
        <f t="shared" si="1"/>
        <v>1.4291000000000002E-2</v>
      </c>
      <c r="D16" s="42">
        <f t="shared" si="2"/>
        <v>3.4685000000000001E-2</v>
      </c>
    </row>
    <row r="17" spans="1:4" ht="15.3" x14ac:dyDescent="0.55000000000000004">
      <c r="A17" s="40">
        <v>0.5</v>
      </c>
      <c r="B17">
        <f t="shared" si="0"/>
        <v>0.5</v>
      </c>
      <c r="C17" s="43">
        <f t="shared" si="1"/>
        <v>1.880625E-2</v>
      </c>
      <c r="D17" s="42">
        <f t="shared" si="2"/>
        <v>4.0050000000000002E-2</v>
      </c>
    </row>
    <row r="18" spans="1:4" ht="15.3" x14ac:dyDescent="0.55000000000000004">
      <c r="A18" s="40">
        <v>0.6</v>
      </c>
      <c r="B18">
        <f t="shared" si="0"/>
        <v>0.4</v>
      </c>
      <c r="C18" s="43">
        <f t="shared" si="1"/>
        <v>2.5020999999999998E-2</v>
      </c>
      <c r="D18" s="42">
        <f t="shared" si="2"/>
        <v>4.5414999999999997E-2</v>
      </c>
    </row>
    <row r="19" spans="1:4" ht="15.3" x14ac:dyDescent="0.55000000000000004">
      <c r="A19" s="40">
        <v>0.7</v>
      </c>
      <c r="B19">
        <f t="shared" si="0"/>
        <v>0.30000000000000004</v>
      </c>
      <c r="C19" s="43">
        <f t="shared" si="1"/>
        <v>3.2935249999999999E-2</v>
      </c>
      <c r="D19" s="42">
        <f t="shared" si="2"/>
        <v>5.0779999999999999E-2</v>
      </c>
    </row>
    <row r="20" spans="1:4" ht="15.3" x14ac:dyDescent="0.55000000000000004">
      <c r="A20" s="40">
        <v>0.8</v>
      </c>
      <c r="B20">
        <f t="shared" si="0"/>
        <v>0.19999999999999996</v>
      </c>
      <c r="C20" s="43">
        <f t="shared" si="1"/>
        <v>4.254900000000001E-2</v>
      </c>
      <c r="D20" s="42">
        <f t="shared" si="2"/>
        <v>5.6145000000000007E-2</v>
      </c>
    </row>
    <row r="21" spans="1:4" ht="15.3" x14ac:dyDescent="0.55000000000000004">
      <c r="A21" s="40">
        <v>0.9</v>
      </c>
      <c r="B21">
        <f t="shared" si="0"/>
        <v>9.9999999999999978E-2</v>
      </c>
      <c r="C21" s="43">
        <f t="shared" si="1"/>
        <v>5.3862250000000007E-2</v>
      </c>
      <c r="D21" s="42">
        <f t="shared" si="2"/>
        <v>6.1510000000000002E-2</v>
      </c>
    </row>
    <row r="22" spans="1:4" ht="15.3" x14ac:dyDescent="0.55000000000000004">
      <c r="A22" s="27">
        <v>1</v>
      </c>
    </row>
  </sheetData>
  <mergeCells count="1">
    <mergeCell ref="F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G12" sqref="G12"/>
    </sheetView>
  </sheetViews>
  <sheetFormatPr defaultRowHeight="14.4" x14ac:dyDescent="0.55000000000000004"/>
  <sheetData>
    <row r="1" spans="1:5" ht="15.6" thickBot="1" x14ac:dyDescent="0.6">
      <c r="A1" s="10"/>
      <c r="B1" s="11" t="s">
        <v>12</v>
      </c>
      <c r="C1" s="11" t="s">
        <v>13</v>
      </c>
      <c r="D1" s="11" t="s">
        <v>14</v>
      </c>
      <c r="E1" s="11" t="s">
        <v>15</v>
      </c>
    </row>
    <row r="2" spans="1:5" ht="15.6" thickBot="1" x14ac:dyDescent="0.6">
      <c r="A2" s="12" t="s">
        <v>12</v>
      </c>
      <c r="B2" s="13">
        <v>5.2499999999999997E-4</v>
      </c>
      <c r="C2" s="14"/>
      <c r="D2" s="14"/>
      <c r="E2" s="14"/>
    </row>
    <row r="3" spans="1:5" ht="15.6" thickBot="1" x14ac:dyDescent="0.6">
      <c r="A3" s="12" t="s">
        <v>13</v>
      </c>
      <c r="B3" s="13">
        <v>-4.95E-4</v>
      </c>
      <c r="C3" s="13">
        <v>5.4900000000000001E-4</v>
      </c>
      <c r="D3" s="14"/>
      <c r="E3" s="14"/>
    </row>
    <row r="4" spans="1:5" ht="15.6" thickBot="1" x14ac:dyDescent="0.6">
      <c r="A4" s="12" t="s">
        <v>14</v>
      </c>
      <c r="B4" s="13">
        <v>1.99E-3</v>
      </c>
      <c r="C4" s="13">
        <v>-2.0500000000000002E-3</v>
      </c>
      <c r="D4" s="13">
        <v>8.2799999999999992E-3</v>
      </c>
      <c r="E4" s="14"/>
    </row>
    <row r="5" spans="1:5" ht="15.6" thickBot="1" x14ac:dyDescent="0.6">
      <c r="A5" s="12" t="s">
        <v>15</v>
      </c>
      <c r="B5" s="13">
        <v>-6.9499999999999998E-4</v>
      </c>
      <c r="C5" s="13">
        <v>5.5699999999999999E-4</v>
      </c>
      <c r="D5" s="13">
        <v>-2.99E-3</v>
      </c>
      <c r="E5" s="13">
        <v>4.6610000000000002E-3</v>
      </c>
    </row>
    <row r="7" spans="1:5" ht="15.3" x14ac:dyDescent="0.55000000000000004">
      <c r="A7" s="28" t="s">
        <v>18</v>
      </c>
      <c r="B7">
        <f>B2</f>
        <v>5.2499999999999997E-4</v>
      </c>
      <c r="C7" s="19"/>
    </row>
    <row r="8" spans="1:5" ht="15.3" x14ac:dyDescent="0.55000000000000004">
      <c r="A8" s="28"/>
      <c r="C8" s="19"/>
    </row>
    <row r="9" spans="1:5" ht="15.3" x14ac:dyDescent="0.55000000000000004">
      <c r="A9" s="28" t="s">
        <v>19</v>
      </c>
      <c r="B9">
        <f>SQRT(E5)</f>
        <v>6.8271516754793135E-2</v>
      </c>
      <c r="C9" s="19"/>
    </row>
    <row r="10" spans="1:5" ht="15.3" x14ac:dyDescent="0.55000000000000004">
      <c r="A10" s="28"/>
      <c r="C10" s="19"/>
    </row>
    <row r="11" spans="1:5" x14ac:dyDescent="0.55000000000000004">
      <c r="A11" t="s">
        <v>20</v>
      </c>
      <c r="B11">
        <f>C4</f>
        <v>-2.0500000000000002E-3</v>
      </c>
    </row>
    <row r="12" spans="1:5" ht="15.3" x14ac:dyDescent="0.55000000000000004">
      <c r="A12" s="28"/>
    </row>
    <row r="13" spans="1:5" ht="15.3" x14ac:dyDescent="0.55000000000000004">
      <c r="A13" s="28" t="s">
        <v>21</v>
      </c>
      <c r="B13">
        <f>B5/(SQRT(B2)*SQRT(E5))</f>
        <v>-0.44428904153024257</v>
      </c>
    </row>
    <row r="16" spans="1:5" x14ac:dyDescent="0.55000000000000004">
      <c r="B16" s="23"/>
      <c r="C16" s="23"/>
    </row>
    <row r="17" spans="2:3" x14ac:dyDescent="0.55000000000000004">
      <c r="B17" s="24"/>
      <c r="C17" s="24"/>
    </row>
    <row r="18" spans="2:3" x14ac:dyDescent="0.55000000000000004">
      <c r="B18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selection activeCell="K6" sqref="K6"/>
    </sheetView>
  </sheetViews>
  <sheetFormatPr defaultRowHeight="14.4" x14ac:dyDescent="0.55000000000000004"/>
  <cols>
    <col min="1" max="1" width="12.26171875" customWidth="1"/>
  </cols>
  <sheetData>
    <row r="1" spans="1:8" ht="15.6" thickBot="1" x14ac:dyDescent="0.6">
      <c r="A1" s="15" t="s">
        <v>0</v>
      </c>
      <c r="B1" s="16" t="s">
        <v>16</v>
      </c>
      <c r="C1" s="16" t="s">
        <v>17</v>
      </c>
      <c r="E1" s="38" t="s">
        <v>32</v>
      </c>
      <c r="F1" s="38"/>
      <c r="G1" s="38"/>
      <c r="H1" s="38"/>
    </row>
    <row r="2" spans="1:8" ht="15.6" thickBot="1" x14ac:dyDescent="0.6">
      <c r="A2" s="17">
        <v>0.15</v>
      </c>
      <c r="B2" s="18">
        <v>0.06</v>
      </c>
      <c r="C2" s="18">
        <v>-0.2</v>
      </c>
      <c r="E2" t="s">
        <v>29</v>
      </c>
      <c r="F2" t="s">
        <v>15</v>
      </c>
      <c r="G2" t="s">
        <v>30</v>
      </c>
    </row>
    <row r="3" spans="1:8" ht="15.6" thickBot="1" x14ac:dyDescent="0.6">
      <c r="A3" s="17">
        <v>0.65</v>
      </c>
      <c r="B3" s="18">
        <v>7.0000000000000007E-2</v>
      </c>
      <c r="C3" s="18">
        <v>0.13</v>
      </c>
      <c r="E3" t="s">
        <v>31</v>
      </c>
      <c r="F3">
        <f>(C7-B8)/(B7+C7-2*B8)</f>
        <v>1.0921677215189873</v>
      </c>
      <c r="G3">
        <f>1-F3</f>
        <v>-9.2167721518987333E-2</v>
      </c>
    </row>
    <row r="4" spans="1:8" ht="15.6" thickBot="1" x14ac:dyDescent="0.6">
      <c r="A4" s="17">
        <v>0.2</v>
      </c>
      <c r="B4" s="18">
        <v>0.11</v>
      </c>
      <c r="C4" s="18">
        <v>0.33</v>
      </c>
    </row>
    <row r="5" spans="1:8" x14ac:dyDescent="0.55000000000000004">
      <c r="E5" t="s">
        <v>33</v>
      </c>
      <c r="F5">
        <f>F3^2*B7+G3*C7+F3*G3*B8</f>
        <v>-2.1024863716251406E-3</v>
      </c>
    </row>
    <row r="6" spans="1:8" x14ac:dyDescent="0.55000000000000004">
      <c r="A6" t="s">
        <v>34</v>
      </c>
      <c r="B6">
        <f>SUMPRODUCT($A$2:$A$4,B2:B4)</f>
        <v>7.6500000000000012E-2</v>
      </c>
      <c r="C6">
        <f>SUMPRODUCT($A$2:$A$4,C2:C4)</f>
        <v>0.12050000000000001</v>
      </c>
    </row>
    <row r="7" spans="1:8" x14ac:dyDescent="0.55000000000000004">
      <c r="A7" t="s">
        <v>33</v>
      </c>
      <c r="B7" cm="1">
        <f t="array" ref="B7">SUMPRODUCT($A$2:$A$4, (B2:B4-B6)^2)</f>
        <v>2.9274999999999993E-4</v>
      </c>
      <c r="C7" cm="1">
        <f t="array" ref="C7">SUMPRODUCT($A$2:$A$4, (C2:C4-C6)^2)</f>
        <v>2.4244750000000002E-2</v>
      </c>
    </row>
    <row r="8" spans="1:8" x14ac:dyDescent="0.55000000000000004">
      <c r="A8" t="s">
        <v>35</v>
      </c>
      <c r="B8" cm="1">
        <f t="array" ref="B8">SUMPRODUCT(A2:A4, B2:B4-B6, C2:C4-C6)</f>
        <v>2.1567500000000002E-3</v>
      </c>
    </row>
    <row r="12" spans="1:8" x14ac:dyDescent="0.55000000000000004">
      <c r="A12" t="s">
        <v>36</v>
      </c>
      <c r="B12" t="s">
        <v>37</v>
      </c>
      <c r="C12" t="s">
        <v>27</v>
      </c>
      <c r="D12" t="s">
        <v>38</v>
      </c>
    </row>
    <row r="13" spans="1:8" x14ac:dyDescent="0.55000000000000004">
      <c r="A13">
        <v>0</v>
      </c>
      <c r="B13">
        <f>1-A13</f>
        <v>1</v>
      </c>
      <c r="C13" s="41">
        <f>A13^2*$B$7+B13^2*$C$7+A13*B13*$B$8</f>
        <v>2.4244750000000002E-2</v>
      </c>
      <c r="D13">
        <f>A13*$B$7+B13*$C$7</f>
        <v>2.4244750000000002E-2</v>
      </c>
    </row>
    <row r="14" spans="1:8" x14ac:dyDescent="0.55000000000000004">
      <c r="A14">
        <v>0.1</v>
      </c>
      <c r="B14">
        <f t="shared" ref="B14:B23" si="0">1-A14</f>
        <v>0.9</v>
      </c>
      <c r="C14" s="41">
        <f t="shared" ref="C14:C23" si="1">A14^2*$B$7+B14^2*$C$7+A14*B14*$B$8</f>
        <v>1.9835282500000002E-2</v>
      </c>
      <c r="D14">
        <f t="shared" ref="D14:D23" si="2">A14*$B$7+B14*$C$7</f>
        <v>2.1849550000000002E-2</v>
      </c>
    </row>
    <row r="15" spans="1:8" x14ac:dyDescent="0.55000000000000004">
      <c r="A15">
        <v>0.2</v>
      </c>
      <c r="B15">
        <f t="shared" si="0"/>
        <v>0.8</v>
      </c>
      <c r="C15" s="41">
        <f t="shared" si="1"/>
        <v>1.5873430000000004E-2</v>
      </c>
      <c r="D15">
        <f t="shared" si="2"/>
        <v>1.9454350000000006E-2</v>
      </c>
    </row>
    <row r="16" spans="1:8" x14ac:dyDescent="0.55000000000000004">
      <c r="A16">
        <v>0.3</v>
      </c>
      <c r="B16">
        <f t="shared" si="0"/>
        <v>0.7</v>
      </c>
      <c r="C16" s="41">
        <f t="shared" si="1"/>
        <v>1.2359192499999999E-2</v>
      </c>
      <c r="D16">
        <f t="shared" si="2"/>
        <v>1.7059149999999999E-2</v>
      </c>
    </row>
    <row r="17" spans="1:4" x14ac:dyDescent="0.55000000000000004">
      <c r="A17">
        <v>0.4</v>
      </c>
      <c r="B17">
        <f t="shared" si="0"/>
        <v>0.6</v>
      </c>
      <c r="C17" s="41">
        <f t="shared" si="1"/>
        <v>9.29257E-3</v>
      </c>
      <c r="D17">
        <f t="shared" si="2"/>
        <v>1.466395E-2</v>
      </c>
    </row>
    <row r="18" spans="1:4" x14ac:dyDescent="0.55000000000000004">
      <c r="A18">
        <v>0.5</v>
      </c>
      <c r="B18">
        <f t="shared" si="0"/>
        <v>0.5</v>
      </c>
      <c r="C18" s="41">
        <f t="shared" si="1"/>
        <v>6.6735625000000007E-3</v>
      </c>
      <c r="D18">
        <f t="shared" si="2"/>
        <v>1.2268750000000002E-2</v>
      </c>
    </row>
    <row r="19" spans="1:4" x14ac:dyDescent="0.55000000000000004">
      <c r="A19">
        <v>0.6</v>
      </c>
      <c r="B19">
        <f t="shared" si="0"/>
        <v>0.4</v>
      </c>
      <c r="C19" s="41">
        <f t="shared" si="1"/>
        <v>4.5021700000000015E-3</v>
      </c>
      <c r="D19">
        <f t="shared" si="2"/>
        <v>9.8735500000000018E-3</v>
      </c>
    </row>
    <row r="20" spans="1:4" x14ac:dyDescent="0.55000000000000004">
      <c r="A20">
        <v>0.7</v>
      </c>
      <c r="B20">
        <f t="shared" si="0"/>
        <v>0.30000000000000004</v>
      </c>
      <c r="C20" s="41">
        <f t="shared" si="1"/>
        <v>2.7783925000000008E-3</v>
      </c>
      <c r="D20">
        <f t="shared" si="2"/>
        <v>7.4783500000000017E-3</v>
      </c>
    </row>
    <row r="21" spans="1:4" x14ac:dyDescent="0.55000000000000004">
      <c r="A21">
        <v>0.8</v>
      </c>
      <c r="B21">
        <f t="shared" si="0"/>
        <v>0.19999999999999996</v>
      </c>
      <c r="C21" s="41">
        <f t="shared" si="1"/>
        <v>1.5022299999999996E-3</v>
      </c>
      <c r="D21">
        <f t="shared" si="2"/>
        <v>5.0831499999999998E-3</v>
      </c>
    </row>
    <row r="22" spans="1:4" x14ac:dyDescent="0.55000000000000004">
      <c r="A22">
        <v>0.9</v>
      </c>
      <c r="B22">
        <f t="shared" si="0"/>
        <v>9.9999999999999978E-2</v>
      </c>
      <c r="C22" s="41">
        <f t="shared" si="1"/>
        <v>6.7368249999999984E-4</v>
      </c>
      <c r="D22">
        <f t="shared" si="2"/>
        <v>2.6879499999999997E-3</v>
      </c>
    </row>
    <row r="23" spans="1:4" x14ac:dyDescent="0.55000000000000004">
      <c r="A23">
        <v>1</v>
      </c>
      <c r="B23">
        <f t="shared" si="0"/>
        <v>0</v>
      </c>
      <c r="C23" s="41">
        <f t="shared" si="1"/>
        <v>2.9274999999999993E-4</v>
      </c>
      <c r="D23">
        <f t="shared" si="2"/>
        <v>2.9274999999999993E-4</v>
      </c>
    </row>
  </sheetData>
  <mergeCells count="1">
    <mergeCell ref="E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Dupinder</dc:creator>
  <cp:lastModifiedBy>Swastik Mallick</cp:lastModifiedBy>
  <dcterms:created xsi:type="dcterms:W3CDTF">2018-04-17T18:17:13Z</dcterms:created>
  <dcterms:modified xsi:type="dcterms:W3CDTF">2025-11-17T21:37:26Z</dcterms:modified>
</cp:coreProperties>
</file>