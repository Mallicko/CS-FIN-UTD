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wama\Downloads\"/>
    </mc:Choice>
  </mc:AlternateContent>
  <xr:revisionPtr revIDLastSave="0" documentId="13_ncr:1_{489029F6-198C-4C62-94FB-1764BC7E679A}" xr6:coauthVersionLast="47" xr6:coauthVersionMax="47" xr10:uidLastSave="{00000000-0000-0000-0000-000000000000}"/>
  <bookViews>
    <workbookView xWindow="-19305" yWindow="-4305" windowWidth="19410" windowHeight="21705" activeTab="4" xr2:uid="{00000000-000D-0000-FFFF-FFFF00000000}"/>
  </bookViews>
  <sheets>
    <sheet name="1" sheetId="13" r:id="rId1"/>
    <sheet name="2" sheetId="14" r:id="rId2"/>
    <sheet name="3" sheetId="15" r:id="rId3"/>
    <sheet name="4" sheetId="18" r:id="rId4"/>
    <sheet name="5" sheetId="20" r:id="rId5"/>
  </sheets>
  <definedNames>
    <definedName name="CGS">#REF!</definedName>
    <definedName name="growth_rate">#REF!</definedName>
    <definedName name="IRR">#REF!</definedName>
    <definedName name="NPV">#REF!</definedName>
    <definedName name="solver_adj" localSheetId="4" hidden="1">'5'!$F$45:$F$54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'5'!$F$45:$F$54</definedName>
    <definedName name="solver_lhs2" localSheetId="4" hidden="1">'5'!$G$55</definedName>
    <definedName name="solver_lhs3" localSheetId="4" hidden="1">'5'!$G$19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'5'!$H$55</definedName>
    <definedName name="solver_pre" localSheetId="4" hidden="1">0.000001</definedName>
    <definedName name="solver_rbv" localSheetId="4" hidden="1">2</definedName>
    <definedName name="solver_rel1" localSheetId="4" hidden="1">5</definedName>
    <definedName name="solver_rel2" localSheetId="4" hidden="1">1</definedName>
    <definedName name="solver_rel3" localSheetId="4" hidden="1">1</definedName>
    <definedName name="solver_rhs1" localSheetId="4" hidden="1">"binary"</definedName>
    <definedName name="solver_rhs2" localSheetId="4" hidden="1">5000000</definedName>
    <definedName name="solver_rhs3" localSheetId="4" hidden="1">'5'!$B$1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0" l="1"/>
  <c r="E18" i="20"/>
</calcChain>
</file>

<file path=xl/sharedStrings.xml><?xml version="1.0" encoding="utf-8"?>
<sst xmlns="http://schemas.openxmlformats.org/spreadsheetml/2006/main" count="22" uniqueCount="19">
  <si>
    <t>NPV</t>
  </si>
  <si>
    <t>Prob</t>
  </si>
  <si>
    <t>year</t>
  </si>
  <si>
    <t>project A</t>
  </si>
  <si>
    <t>Project B</t>
  </si>
  <si>
    <t>i</t>
  </si>
  <si>
    <t>cost of capital</t>
  </si>
  <si>
    <t>Best case</t>
  </si>
  <si>
    <t>Most likely</t>
  </si>
  <si>
    <t>worst case</t>
  </si>
  <si>
    <t>cash</t>
  </si>
  <si>
    <t>Year</t>
  </si>
  <si>
    <t>Cash</t>
  </si>
  <si>
    <t>Project</t>
  </si>
  <si>
    <t>cost</t>
  </si>
  <si>
    <t>CB limit</t>
  </si>
  <si>
    <t>Decisions</t>
  </si>
  <si>
    <t>NPV of Accepted</t>
  </si>
  <si>
    <t>Cost ofaccepted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</si>
</sst>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44" fontId="0" fillId="0" borderId="0" xfId="2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4" fontId="2" fillId="0" borderId="4" xfId="0" applyNumberFormat="1" applyFont="1" applyBorder="1" applyAlignment="1">
      <alignment vertical="center"/>
    </xf>
    <xf numFmtId="4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43" fontId="0" fillId="0" borderId="0" xfId="1" applyFont="1" applyBorder="1"/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6" sqref="A6:B6"/>
    </sheetView>
  </sheetViews>
  <sheetFormatPr defaultRowHeight="14.4" x14ac:dyDescent="0.55000000000000004"/>
  <cols>
    <col min="1" max="1" width="15.68359375" customWidth="1"/>
    <col min="2" max="2" width="15.26171875" bestFit="1" customWidth="1"/>
  </cols>
  <sheetData>
    <row r="1" spans="1:3" x14ac:dyDescent="0.55000000000000004">
      <c r="B1" t="s">
        <v>0</v>
      </c>
      <c r="C1" t="s">
        <v>1</v>
      </c>
    </row>
    <row r="2" spans="1:3" x14ac:dyDescent="0.55000000000000004">
      <c r="A2" t="s">
        <v>7</v>
      </c>
      <c r="B2">
        <v>15000</v>
      </c>
      <c r="C2" s="1">
        <v>0.2</v>
      </c>
    </row>
    <row r="3" spans="1:3" x14ac:dyDescent="0.55000000000000004">
      <c r="A3" t="s">
        <v>8</v>
      </c>
      <c r="B3">
        <v>10000</v>
      </c>
      <c r="C3" s="1">
        <v>0.65</v>
      </c>
    </row>
    <row r="4" spans="1:3" x14ac:dyDescent="0.55000000000000004">
      <c r="A4" t="s">
        <v>9</v>
      </c>
      <c r="B4">
        <v>-18000</v>
      </c>
      <c r="C4" s="1">
        <v>0.15</v>
      </c>
    </row>
    <row r="6" spans="1:3" x14ac:dyDescent="0.55000000000000004">
      <c r="B6" s="6"/>
      <c r="C6" s="1"/>
    </row>
    <row r="7" spans="1:3" x14ac:dyDescent="0.55000000000000004">
      <c r="B7" s="2"/>
    </row>
    <row r="8" spans="1:3" x14ac:dyDescent="0.55000000000000004">
      <c r="B8" s="6"/>
    </row>
    <row r="9" spans="1:3" x14ac:dyDescent="0.55000000000000004">
      <c r="B9" s="2"/>
    </row>
    <row r="10" spans="1:3" x14ac:dyDescent="0.55000000000000004">
      <c r="A10" s="13"/>
      <c r="B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E15" sqref="E15"/>
    </sheetView>
  </sheetViews>
  <sheetFormatPr defaultRowHeight="14.4" x14ac:dyDescent="0.55000000000000004"/>
  <cols>
    <col min="1" max="1" width="15.578125" customWidth="1"/>
    <col min="2" max="2" width="10.26171875" bestFit="1" customWidth="1"/>
    <col min="7" max="8" width="20.41796875" bestFit="1" customWidth="1"/>
  </cols>
  <sheetData>
    <row r="1" spans="1:8" x14ac:dyDescent="0.55000000000000004">
      <c r="A1" t="s">
        <v>6</v>
      </c>
      <c r="B1" s="1">
        <v>0.12</v>
      </c>
    </row>
    <row r="3" spans="1:8" x14ac:dyDescent="0.55000000000000004">
      <c r="A3" t="s">
        <v>2</v>
      </c>
      <c r="B3" t="s">
        <v>10</v>
      </c>
    </row>
    <row r="4" spans="1:8" x14ac:dyDescent="0.55000000000000004">
      <c r="A4">
        <v>0</v>
      </c>
      <c r="B4" s="2">
        <v>-5000</v>
      </c>
    </row>
    <row r="5" spans="1:8" x14ac:dyDescent="0.55000000000000004">
      <c r="A5">
        <v>1</v>
      </c>
      <c r="B5" s="2">
        <v>9000</v>
      </c>
    </row>
    <row r="6" spans="1:8" x14ac:dyDescent="0.55000000000000004">
      <c r="A6">
        <v>2</v>
      </c>
      <c r="B6" s="2">
        <v>3000</v>
      </c>
    </row>
    <row r="7" spans="1:8" x14ac:dyDescent="0.55000000000000004">
      <c r="A7">
        <v>3</v>
      </c>
      <c r="B7" s="2">
        <v>-8000</v>
      </c>
      <c r="G7" s="2"/>
      <c r="H7" s="2"/>
    </row>
    <row r="9" spans="1:8" x14ac:dyDescent="0.55000000000000004">
      <c r="B9" s="3"/>
    </row>
    <row r="10" spans="1:8" x14ac:dyDescent="0.55000000000000004">
      <c r="B10" s="12"/>
    </row>
    <row r="11" spans="1:8" x14ac:dyDescent="0.55000000000000004">
      <c r="B11" s="4"/>
      <c r="C11" s="4"/>
    </row>
    <row r="12" spans="1:8" x14ac:dyDescent="0.55000000000000004">
      <c r="B12" s="4"/>
    </row>
    <row r="18" spans="1:2" x14ac:dyDescent="0.55000000000000004">
      <c r="A18" s="1"/>
      <c r="B18" s="3"/>
    </row>
    <row r="19" spans="1:2" x14ac:dyDescent="0.55000000000000004">
      <c r="A19" s="1"/>
      <c r="B19" s="3"/>
    </row>
    <row r="20" spans="1:2" x14ac:dyDescent="0.55000000000000004">
      <c r="A20" s="1"/>
      <c r="B20" s="3"/>
    </row>
    <row r="21" spans="1:2" x14ac:dyDescent="0.55000000000000004">
      <c r="A21" s="1"/>
      <c r="B21" s="3"/>
    </row>
    <row r="22" spans="1:2" x14ac:dyDescent="0.55000000000000004">
      <c r="A22" s="1"/>
      <c r="B22" s="3"/>
    </row>
    <row r="23" spans="1:2" x14ac:dyDescent="0.55000000000000004">
      <c r="A23" s="1"/>
      <c r="B23" s="3"/>
    </row>
    <row r="24" spans="1:2" x14ac:dyDescent="0.55000000000000004">
      <c r="A24" s="1"/>
      <c r="B24" s="3"/>
    </row>
    <row r="25" spans="1:2" x14ac:dyDescent="0.55000000000000004">
      <c r="A25" s="1"/>
      <c r="B25" s="3"/>
    </row>
    <row r="26" spans="1:2" x14ac:dyDescent="0.55000000000000004">
      <c r="A26" s="1"/>
      <c r="B26" s="3"/>
    </row>
    <row r="27" spans="1:2" x14ac:dyDescent="0.55000000000000004">
      <c r="A27" s="1"/>
      <c r="B27" s="3"/>
    </row>
    <row r="28" spans="1:2" x14ac:dyDescent="0.55000000000000004">
      <c r="A28" s="1"/>
      <c r="B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F2" sqref="F2"/>
    </sheetView>
  </sheetViews>
  <sheetFormatPr defaultRowHeight="14.4" x14ac:dyDescent="0.55000000000000004"/>
  <cols>
    <col min="2" max="3" width="10.83984375" bestFit="1" customWidth="1"/>
    <col min="5" max="5" width="10" customWidth="1"/>
    <col min="6" max="6" width="17.41796875" bestFit="1" customWidth="1"/>
  </cols>
  <sheetData>
    <row r="1" spans="1:6" ht="14.7" thickBot="1" x14ac:dyDescent="0.6">
      <c r="A1" t="s">
        <v>5</v>
      </c>
      <c r="B1" s="1">
        <v>0.08</v>
      </c>
    </row>
    <row r="2" spans="1:6" ht="14.7" thickBot="1" x14ac:dyDescent="0.6">
      <c r="A2" s="7" t="s">
        <v>2</v>
      </c>
      <c r="B2" s="8" t="s">
        <v>3</v>
      </c>
      <c r="C2" s="8" t="s">
        <v>4</v>
      </c>
    </row>
    <row r="3" spans="1:6" ht="14.7" thickBot="1" x14ac:dyDescent="0.6">
      <c r="A3" s="9">
        <v>0</v>
      </c>
      <c r="B3" s="10">
        <v>-100000</v>
      </c>
      <c r="C3" s="10">
        <v>-150000</v>
      </c>
      <c r="F3" s="11"/>
    </row>
    <row r="4" spans="1:6" ht="14.7" thickBot="1" x14ac:dyDescent="0.6">
      <c r="A4" s="9">
        <v>1</v>
      </c>
      <c r="B4" s="10">
        <v>60000</v>
      </c>
      <c r="C4" s="10">
        <v>70000</v>
      </c>
      <c r="F4" s="11"/>
    </row>
    <row r="5" spans="1:6" ht="14.7" thickBot="1" x14ac:dyDescent="0.6">
      <c r="A5" s="9">
        <v>2</v>
      </c>
      <c r="B5" s="10">
        <v>40000</v>
      </c>
      <c r="C5" s="10">
        <v>50000</v>
      </c>
      <c r="F5" s="11"/>
    </row>
    <row r="6" spans="1:6" ht="14.7" thickBot="1" x14ac:dyDescent="0.6">
      <c r="A6" s="9">
        <v>3</v>
      </c>
      <c r="B6" s="10">
        <v>20000</v>
      </c>
      <c r="C6" s="10">
        <v>20000</v>
      </c>
      <c r="F6" s="11"/>
    </row>
    <row r="7" spans="1:6" ht="14.7" thickBot="1" x14ac:dyDescent="0.6">
      <c r="A7" s="9">
        <v>4</v>
      </c>
      <c r="B7" s="10">
        <v>30000</v>
      </c>
      <c r="C7" s="10">
        <v>50000</v>
      </c>
      <c r="F7" s="11"/>
    </row>
    <row r="8" spans="1:6" ht="14.7" thickBot="1" x14ac:dyDescent="0.6">
      <c r="A8" s="9">
        <v>5</v>
      </c>
      <c r="B8" s="10">
        <v>10000</v>
      </c>
      <c r="C8" s="10">
        <v>40000</v>
      </c>
      <c r="F8" s="11"/>
    </row>
    <row r="10" spans="1:6" x14ac:dyDescent="0.55000000000000004">
      <c r="B10" s="2"/>
      <c r="C10" s="2"/>
    </row>
    <row r="11" spans="1:6" x14ac:dyDescent="0.55000000000000004">
      <c r="B11" s="4"/>
      <c r="C11" s="4"/>
    </row>
    <row r="12" spans="1:6" x14ac:dyDescent="0.55000000000000004">
      <c r="B12" s="12"/>
      <c r="C12" s="12"/>
    </row>
    <row r="13" spans="1:6" x14ac:dyDescent="0.55000000000000004">
      <c r="B13" s="4"/>
      <c r="C13" s="4"/>
    </row>
    <row r="16" spans="1:6" x14ac:dyDescent="0.55000000000000004">
      <c r="E16" s="13"/>
      <c r="F16" s="4"/>
    </row>
    <row r="18" spans="1:6" x14ac:dyDescent="0.55000000000000004">
      <c r="E18" s="13"/>
      <c r="F18" s="2"/>
    </row>
    <row r="23" spans="1:6" x14ac:dyDescent="0.55000000000000004">
      <c r="A23" s="1"/>
      <c r="B23" s="11"/>
      <c r="C23" s="11"/>
    </row>
    <row r="24" spans="1:6" x14ac:dyDescent="0.55000000000000004">
      <c r="A24" s="1"/>
      <c r="B24" s="11"/>
      <c r="C24" s="11"/>
    </row>
    <row r="25" spans="1:6" x14ac:dyDescent="0.55000000000000004">
      <c r="A25" s="1"/>
      <c r="B25" s="11"/>
      <c r="C25" s="11"/>
    </row>
    <row r="26" spans="1:6" x14ac:dyDescent="0.55000000000000004">
      <c r="A26" s="1"/>
      <c r="B26" s="11"/>
      <c r="C26" s="11"/>
    </row>
    <row r="27" spans="1:6" x14ac:dyDescent="0.55000000000000004">
      <c r="A27" s="1"/>
      <c r="B27" s="11"/>
      <c r="C27" s="11"/>
    </row>
    <row r="28" spans="1:6" x14ac:dyDescent="0.55000000000000004">
      <c r="A28" s="1"/>
      <c r="B28" s="11"/>
      <c r="C28" s="11"/>
    </row>
    <row r="29" spans="1:6" x14ac:dyDescent="0.55000000000000004">
      <c r="A29" s="1"/>
      <c r="B29" s="11"/>
      <c r="C2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4"/>
  <sheetViews>
    <sheetView workbookViewId="0">
      <selection activeCell="E15" sqref="E15"/>
    </sheetView>
  </sheetViews>
  <sheetFormatPr defaultRowHeight="14.4" x14ac:dyDescent="0.55000000000000004"/>
  <cols>
    <col min="2" max="2" width="13.578125" bestFit="1" customWidth="1"/>
    <col min="3" max="4" width="11.41796875" bestFit="1" customWidth="1"/>
    <col min="5" max="7" width="12.26171875" bestFit="1" customWidth="1"/>
    <col min="8" max="8" width="11.26171875" bestFit="1" customWidth="1"/>
  </cols>
  <sheetData>
    <row r="2" spans="1:8" x14ac:dyDescent="0.55000000000000004">
      <c r="A2" t="s">
        <v>6</v>
      </c>
      <c r="C2" s="1">
        <v>0.11</v>
      </c>
    </row>
    <row r="3" spans="1:8" ht="14.7" thickBot="1" x14ac:dyDescent="0.6"/>
    <row r="4" spans="1:8" ht="15.6" thickBot="1" x14ac:dyDescent="0.6">
      <c r="A4" s="14" t="s">
        <v>11</v>
      </c>
      <c r="B4" s="15">
        <v>0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</row>
    <row r="5" spans="1:8" ht="15.6" thickBot="1" x14ac:dyDescent="0.6">
      <c r="A5" s="16" t="s">
        <v>12</v>
      </c>
      <c r="B5" s="17">
        <v>-100000</v>
      </c>
      <c r="C5" s="17">
        <v>10000</v>
      </c>
      <c r="D5" s="17">
        <v>20000</v>
      </c>
      <c r="E5" s="17">
        <v>30000</v>
      </c>
      <c r="F5" s="17">
        <v>40000</v>
      </c>
      <c r="G5" s="17">
        <v>50000</v>
      </c>
      <c r="H5" s="17">
        <v>60000</v>
      </c>
    </row>
    <row r="7" spans="1:8" x14ac:dyDescent="0.55000000000000004">
      <c r="B7" s="3"/>
    </row>
    <row r="8" spans="1:8" x14ac:dyDescent="0.55000000000000004">
      <c r="B8" s="3"/>
    </row>
    <row r="9" spans="1:8" x14ac:dyDescent="0.55000000000000004">
      <c r="B9" s="4"/>
    </row>
    <row r="10" spans="1:8" x14ac:dyDescent="0.55000000000000004">
      <c r="B10" s="4"/>
    </row>
    <row r="13" spans="1:8" x14ac:dyDescent="0.55000000000000004">
      <c r="A13" s="4"/>
      <c r="B13" s="2"/>
      <c r="C13" s="2"/>
      <c r="D13" s="2"/>
      <c r="E13" s="2"/>
      <c r="F13" s="2"/>
      <c r="G13" s="2"/>
    </row>
    <row r="14" spans="1:8" x14ac:dyDescent="0.55000000000000004">
      <c r="A14" s="1"/>
      <c r="B14" s="5"/>
      <c r="C14" s="5"/>
      <c r="D14" s="5"/>
      <c r="E14" s="5"/>
      <c r="F14" s="5"/>
      <c r="G14" s="5"/>
    </row>
    <row r="15" spans="1:8" x14ac:dyDescent="0.55000000000000004">
      <c r="A15" s="1"/>
      <c r="B15" s="5"/>
      <c r="C15" s="5"/>
      <c r="D15" s="5"/>
      <c r="E15" s="5"/>
      <c r="F15" s="5"/>
      <c r="G15" s="5"/>
    </row>
    <row r="16" spans="1:8" x14ac:dyDescent="0.55000000000000004">
      <c r="A16" s="1"/>
      <c r="B16" s="5"/>
      <c r="C16" s="5"/>
      <c r="D16" s="5"/>
      <c r="E16" s="5"/>
      <c r="F16" s="5"/>
      <c r="G16" s="5"/>
    </row>
    <row r="17" spans="1:7" x14ac:dyDescent="0.55000000000000004">
      <c r="A17" s="1"/>
      <c r="B17" s="5"/>
      <c r="C17" s="5"/>
      <c r="D17" s="5"/>
      <c r="E17" s="5"/>
      <c r="F17" s="5"/>
      <c r="G17" s="5"/>
    </row>
    <row r="18" spans="1:7" x14ac:dyDescent="0.55000000000000004">
      <c r="A18" s="1"/>
      <c r="B18" s="5"/>
      <c r="C18" s="5"/>
      <c r="D18" s="5"/>
      <c r="E18" s="5"/>
      <c r="F18" s="5"/>
      <c r="G18" s="5"/>
    </row>
    <row r="19" spans="1:7" x14ac:dyDescent="0.55000000000000004">
      <c r="A19" s="1"/>
      <c r="B19" s="5"/>
      <c r="C19" s="5"/>
      <c r="D19" s="5"/>
      <c r="E19" s="5"/>
      <c r="F19" s="5"/>
      <c r="G19" s="5"/>
    </row>
    <row r="20" spans="1:7" x14ac:dyDescent="0.55000000000000004">
      <c r="A20" s="1"/>
      <c r="B20" s="5"/>
      <c r="C20" s="5"/>
      <c r="D20" s="5"/>
      <c r="E20" s="5"/>
      <c r="F20" s="5"/>
      <c r="G20" s="5"/>
    </row>
    <row r="21" spans="1:7" x14ac:dyDescent="0.55000000000000004">
      <c r="A21" s="1"/>
      <c r="B21" s="5"/>
      <c r="C21" s="5"/>
      <c r="D21" s="5"/>
      <c r="E21" s="5"/>
      <c r="F21" s="5"/>
      <c r="G21" s="5"/>
    </row>
    <row r="22" spans="1:7" x14ac:dyDescent="0.55000000000000004">
      <c r="A22" s="1"/>
      <c r="B22" s="5"/>
      <c r="C22" s="5"/>
      <c r="D22" s="5"/>
      <c r="E22" s="5"/>
      <c r="F22" s="5"/>
      <c r="G22" s="5"/>
    </row>
    <row r="23" spans="1:7" x14ac:dyDescent="0.55000000000000004">
      <c r="A23" s="1"/>
      <c r="B23" s="5"/>
      <c r="C23" s="5"/>
      <c r="D23" s="5"/>
      <c r="E23" s="5"/>
      <c r="F23" s="5"/>
      <c r="G23" s="5"/>
    </row>
    <row r="24" spans="1:7" x14ac:dyDescent="0.55000000000000004">
      <c r="A24" s="1"/>
      <c r="B24" s="5"/>
      <c r="C24" s="5"/>
      <c r="D24" s="5"/>
      <c r="E24" s="5"/>
      <c r="F24" s="5"/>
      <c r="G2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zoomScale="145" zoomScaleNormal="145" workbookViewId="0">
      <selection activeCell="F45" sqref="F45"/>
    </sheetView>
  </sheetViews>
  <sheetFormatPr defaultRowHeight="14.4" x14ac:dyDescent="0.55000000000000004"/>
  <cols>
    <col min="2" max="2" width="13.26171875" bestFit="1" customWidth="1"/>
    <col min="3" max="3" width="10.15625" bestFit="1" customWidth="1"/>
    <col min="5" max="5" width="14.68359375" customWidth="1"/>
    <col min="6" max="6" width="21.26171875" bestFit="1" customWidth="1"/>
    <col min="7" max="7" width="13.26171875" bestFit="1" customWidth="1"/>
  </cols>
  <sheetData>
    <row r="1" spans="1:7" x14ac:dyDescent="0.55000000000000004">
      <c r="A1" t="s">
        <v>15</v>
      </c>
      <c r="B1" s="2">
        <v>3500000</v>
      </c>
    </row>
    <row r="3" spans="1:7" x14ac:dyDescent="0.55000000000000004">
      <c r="A3" s="18" t="s">
        <v>13</v>
      </c>
      <c r="B3" s="18" t="s">
        <v>0</v>
      </c>
      <c r="C3" s="18" t="s">
        <v>14</v>
      </c>
      <c r="D3" s="23" t="s">
        <v>16</v>
      </c>
      <c r="E3" s="19" t="s">
        <v>17</v>
      </c>
      <c r="F3" s="19" t="s">
        <v>18</v>
      </c>
      <c r="G3" s="19"/>
    </row>
    <row r="4" spans="1:7" x14ac:dyDescent="0.55000000000000004">
      <c r="A4" s="21">
        <v>1</v>
      </c>
      <c r="B4" s="22">
        <v>84334</v>
      </c>
      <c r="C4" s="22">
        <v>237005</v>
      </c>
      <c r="D4">
        <v>1</v>
      </c>
      <c r="E4" s="24"/>
      <c r="F4" s="24"/>
    </row>
    <row r="5" spans="1:7" x14ac:dyDescent="0.55000000000000004">
      <c r="A5" s="21">
        <v>2</v>
      </c>
      <c r="B5" s="22">
        <v>26881</v>
      </c>
      <c r="C5" s="22">
        <v>766496</v>
      </c>
      <c r="D5">
        <v>0</v>
      </c>
      <c r="E5" s="24"/>
      <c r="F5" s="24"/>
    </row>
    <row r="6" spans="1:7" x14ac:dyDescent="0.55000000000000004">
      <c r="A6" s="21">
        <v>3</v>
      </c>
      <c r="B6" s="22">
        <v>23162</v>
      </c>
      <c r="C6" s="22">
        <v>304049</v>
      </c>
      <c r="D6">
        <v>1</v>
      </c>
      <c r="E6" s="24"/>
      <c r="F6" s="24"/>
    </row>
    <row r="7" spans="1:7" x14ac:dyDescent="0.55000000000000004">
      <c r="A7" s="21">
        <v>4</v>
      </c>
      <c r="B7" s="22">
        <v>82598</v>
      </c>
      <c r="C7" s="22">
        <v>565178</v>
      </c>
      <c r="D7">
        <v>1</v>
      </c>
      <c r="E7" s="24"/>
      <c r="F7" s="24"/>
    </row>
    <row r="8" spans="1:7" x14ac:dyDescent="0.55000000000000004">
      <c r="A8" s="21">
        <v>5</v>
      </c>
      <c r="B8" s="22">
        <v>20590</v>
      </c>
      <c r="C8" s="22">
        <v>108990</v>
      </c>
      <c r="D8">
        <v>0</v>
      </c>
      <c r="E8" s="24"/>
      <c r="F8" s="24"/>
    </row>
    <row r="9" spans="1:7" x14ac:dyDescent="0.55000000000000004">
      <c r="A9" s="21">
        <v>6</v>
      </c>
      <c r="B9" s="22">
        <v>90404</v>
      </c>
      <c r="C9" s="22">
        <v>89135</v>
      </c>
      <c r="D9">
        <v>1</v>
      </c>
      <c r="E9" s="24"/>
      <c r="F9" s="24"/>
    </row>
    <row r="10" spans="1:7" x14ac:dyDescent="0.55000000000000004">
      <c r="A10" s="21">
        <v>7</v>
      </c>
      <c r="B10" s="22">
        <v>18163</v>
      </c>
      <c r="C10" s="22">
        <v>795664</v>
      </c>
      <c r="D10">
        <v>0</v>
      </c>
      <c r="E10" s="24"/>
      <c r="F10" s="24"/>
    </row>
    <row r="11" spans="1:7" x14ac:dyDescent="0.55000000000000004">
      <c r="A11" s="21">
        <v>8</v>
      </c>
      <c r="B11" s="22">
        <v>97682</v>
      </c>
      <c r="C11" s="22">
        <v>814493</v>
      </c>
      <c r="D11">
        <v>1</v>
      </c>
      <c r="E11" s="24"/>
      <c r="F11" s="24"/>
    </row>
    <row r="12" spans="1:7" x14ac:dyDescent="0.55000000000000004">
      <c r="A12" s="21">
        <v>9</v>
      </c>
      <c r="B12" s="22">
        <v>52063</v>
      </c>
      <c r="C12" s="22">
        <v>480321</v>
      </c>
      <c r="D12">
        <v>1</v>
      </c>
      <c r="E12" s="24"/>
      <c r="F12" s="24"/>
    </row>
    <row r="13" spans="1:7" x14ac:dyDescent="0.55000000000000004">
      <c r="A13" s="21">
        <v>10</v>
      </c>
      <c r="B13" s="22">
        <v>53911</v>
      </c>
      <c r="C13" s="22">
        <v>826610</v>
      </c>
      <c r="D13">
        <v>0</v>
      </c>
      <c r="E13" s="24"/>
      <c r="F13" s="24"/>
    </row>
    <row r="14" spans="1:7" x14ac:dyDescent="0.55000000000000004">
      <c r="A14" s="21">
        <v>11</v>
      </c>
      <c r="B14" s="22">
        <v>56323</v>
      </c>
      <c r="C14" s="22">
        <v>734830</v>
      </c>
      <c r="D14">
        <v>0</v>
      </c>
      <c r="E14" s="24"/>
      <c r="F14" s="24"/>
    </row>
    <row r="15" spans="1:7" x14ac:dyDescent="0.55000000000000004">
      <c r="A15" s="21">
        <v>12</v>
      </c>
      <c r="B15" s="22">
        <v>88349</v>
      </c>
      <c r="C15" s="22">
        <v>910598</v>
      </c>
      <c r="D15">
        <v>1</v>
      </c>
      <c r="E15" s="24"/>
      <c r="F15" s="24"/>
    </row>
    <row r="16" spans="1:7" x14ac:dyDescent="0.55000000000000004">
      <c r="A16" s="21">
        <v>13</v>
      </c>
      <c r="B16" s="22">
        <v>69352</v>
      </c>
      <c r="C16" s="22">
        <v>978621</v>
      </c>
      <c r="D16">
        <v>0</v>
      </c>
      <c r="E16" s="24"/>
      <c r="F16" s="24"/>
    </row>
    <row r="18" spans="5:7" x14ac:dyDescent="0.55000000000000004">
      <c r="E18" s="24">
        <f>SUMPRODUCT(B4:B16,D4:D16)</f>
        <v>518592</v>
      </c>
      <c r="F18" s="24">
        <f>SUMPRODUCT(C4:C16, D4:D16)</f>
        <v>3400779</v>
      </c>
    </row>
    <row r="19" spans="5:7" x14ac:dyDescent="0.55000000000000004">
      <c r="F19" s="20">
        <v>0</v>
      </c>
      <c r="G1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El-Ashmawi, Amal</dc:creator>
  <cp:lastModifiedBy>Swastik Mallick</cp:lastModifiedBy>
  <dcterms:created xsi:type="dcterms:W3CDTF">2015-04-13T16:26:30Z</dcterms:created>
  <dcterms:modified xsi:type="dcterms:W3CDTF">2025-10-16T13:44:45Z</dcterms:modified>
</cp:coreProperties>
</file>