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\Finance\FIN 3390\"/>
    </mc:Choice>
  </mc:AlternateContent>
  <xr:revisionPtr revIDLastSave="0" documentId="8_{85CF31BA-26BA-440E-A4B5-C27D69A9ABEE}" xr6:coauthVersionLast="47" xr6:coauthVersionMax="47" xr10:uidLastSave="{00000000-0000-0000-0000-000000000000}"/>
  <bookViews>
    <workbookView xWindow="-38505" yWindow="-4305" windowWidth="22530" windowHeight="21705" xr2:uid="{ED9451E0-77EE-40C3-9F97-03340A7B28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B23" i="1"/>
  <c r="B20" i="1"/>
  <c r="D17" i="1"/>
  <c r="B17" i="1"/>
  <c r="F4" i="1"/>
  <c r="B10" i="1"/>
  <c r="B7" i="1"/>
  <c r="D4" i="1"/>
  <c r="B4" i="1"/>
</calcChain>
</file>

<file path=xl/sharedStrings.xml><?xml version="1.0" encoding="utf-8"?>
<sst xmlns="http://schemas.openxmlformats.org/spreadsheetml/2006/main" count="29" uniqueCount="21">
  <si>
    <t>Q1</t>
  </si>
  <si>
    <t>a)</t>
  </si>
  <si>
    <t>b)</t>
  </si>
  <si>
    <t>c)</t>
  </si>
  <si>
    <t>Q2</t>
  </si>
  <si>
    <t>Cost</t>
  </si>
  <si>
    <t>S/L</t>
  </si>
  <si>
    <t>Market Value)</t>
  </si>
  <si>
    <t>Tax rate</t>
  </si>
  <si>
    <t>Salvage</t>
  </si>
  <si>
    <t>Annual depreciation</t>
  </si>
  <si>
    <t>Book Value</t>
  </si>
  <si>
    <t>Gain</t>
  </si>
  <si>
    <t>Tax  = liability</t>
  </si>
  <si>
    <t>After Tax SV</t>
  </si>
  <si>
    <t>Life</t>
  </si>
  <si>
    <t>Market Value</t>
  </si>
  <si>
    <t>Tax Rate</t>
  </si>
  <si>
    <t>Cost of Cap</t>
  </si>
  <si>
    <t>Annual Depreciation</t>
  </si>
  <si>
    <t>Tax = 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</si>
</sst>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</xdr:colOff>
      <xdr:row>0</xdr:row>
      <xdr:rowOff>152400</xdr:rowOff>
    </xdr:from>
    <xdr:to>
      <xdr:col>20</xdr:col>
      <xdr:colOff>162493</xdr:colOff>
      <xdr:row>29</xdr:row>
      <xdr:rowOff>133808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ECD008-7210-CB1B-C1B8-9C50D33A3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53300" y="152400"/>
          <a:ext cx="6534718" cy="52296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9160F-31D8-4EF7-9F85-6BA2501A9A6E}">
  <dimension ref="A1:I23"/>
  <sheetViews>
    <sheetView tabSelected="1" workbookViewId="0">
      <selection activeCell="H39" sqref="H39"/>
    </sheetView>
  </sheetViews>
  <sheetFormatPr defaultRowHeight="14.4" x14ac:dyDescent="0.55000000000000004"/>
  <cols>
    <col min="2" max="2" width="17.578125" bestFit="1" customWidth="1"/>
    <col min="4" max="4" width="9.9453125" bestFit="1" customWidth="1"/>
    <col min="5" max="5" width="12.15625" bestFit="1" customWidth="1"/>
    <col min="6" max="6" width="10.05078125" bestFit="1" customWidth="1"/>
    <col min="8" max="8" width="9.9453125" bestFit="1" customWidth="1"/>
  </cols>
  <sheetData>
    <row r="1" spans="1:9" x14ac:dyDescent="0.55000000000000004">
      <c r="A1" t="s">
        <v>0</v>
      </c>
      <c r="B1" t="s">
        <v>5</v>
      </c>
      <c r="C1">
        <v>22000</v>
      </c>
      <c r="E1" t="s">
        <v>7</v>
      </c>
      <c r="F1">
        <v>5500</v>
      </c>
      <c r="H1" t="s">
        <v>9</v>
      </c>
      <c r="I1">
        <v>0</v>
      </c>
    </row>
    <row r="2" spans="1:9" x14ac:dyDescent="0.55000000000000004">
      <c r="B2" t="s">
        <v>6</v>
      </c>
      <c r="C2">
        <v>5</v>
      </c>
      <c r="E2" t="s">
        <v>8</v>
      </c>
      <c r="F2" s="1">
        <v>0.3</v>
      </c>
      <c r="H2" t="s">
        <v>18</v>
      </c>
      <c r="I2" s="1">
        <v>0.12</v>
      </c>
    </row>
    <row r="3" spans="1:9" x14ac:dyDescent="0.55000000000000004">
      <c r="A3" t="s">
        <v>1</v>
      </c>
      <c r="B3" t="s">
        <v>10</v>
      </c>
      <c r="D3" t="s">
        <v>11</v>
      </c>
      <c r="F3" t="s">
        <v>14</v>
      </c>
    </row>
    <row r="4" spans="1:9" x14ac:dyDescent="0.55000000000000004">
      <c r="B4">
        <f>C1/C2</f>
        <v>4400</v>
      </c>
      <c r="D4">
        <f>C1-(4*B4)</f>
        <v>4400</v>
      </c>
      <c r="F4" s="2">
        <f>F1-B10</f>
        <v>5170</v>
      </c>
    </row>
    <row r="6" spans="1:9" x14ac:dyDescent="0.55000000000000004">
      <c r="A6" t="s">
        <v>2</v>
      </c>
      <c r="B6" t="s">
        <v>12</v>
      </c>
    </row>
    <row r="7" spans="1:9" x14ac:dyDescent="0.55000000000000004">
      <c r="B7" s="2">
        <f>F1-D4</f>
        <v>1100</v>
      </c>
    </row>
    <row r="9" spans="1:9" x14ac:dyDescent="0.55000000000000004">
      <c r="A9" t="s">
        <v>3</v>
      </c>
      <c r="B9" t="s">
        <v>13</v>
      </c>
    </row>
    <row r="10" spans="1:9" x14ac:dyDescent="0.55000000000000004">
      <c r="B10" s="2">
        <f>F2*B7</f>
        <v>330</v>
      </c>
    </row>
    <row r="13" spans="1:9" x14ac:dyDescent="0.55000000000000004">
      <c r="A13" t="s">
        <v>4</v>
      </c>
      <c r="B13" t="s">
        <v>5</v>
      </c>
      <c r="C13">
        <v>25000</v>
      </c>
      <c r="E13" t="s">
        <v>16</v>
      </c>
      <c r="F13">
        <v>4000</v>
      </c>
      <c r="H13" t="s">
        <v>9</v>
      </c>
      <c r="I13">
        <v>0</v>
      </c>
    </row>
    <row r="14" spans="1:9" x14ac:dyDescent="0.55000000000000004">
      <c r="B14" t="s">
        <v>15</v>
      </c>
      <c r="C14">
        <v>5</v>
      </c>
      <c r="E14" t="s">
        <v>17</v>
      </c>
      <c r="F14" s="1">
        <v>0.3</v>
      </c>
    </row>
    <row r="16" spans="1:9" x14ac:dyDescent="0.55000000000000004">
      <c r="A16" t="s">
        <v>1</v>
      </c>
      <c r="B16" t="s">
        <v>19</v>
      </c>
      <c r="D16" t="s">
        <v>11</v>
      </c>
      <c r="F16" t="s">
        <v>14</v>
      </c>
    </row>
    <row r="17" spans="1:6" x14ac:dyDescent="0.55000000000000004">
      <c r="B17">
        <f>C13/C14</f>
        <v>5000</v>
      </c>
      <c r="D17">
        <f>C13-(5*B17)</f>
        <v>0</v>
      </c>
      <c r="F17" s="2">
        <f>B20-B23</f>
        <v>2800</v>
      </c>
    </row>
    <row r="19" spans="1:6" x14ac:dyDescent="0.55000000000000004">
      <c r="A19" t="s">
        <v>2</v>
      </c>
      <c r="B19" t="s">
        <v>12</v>
      </c>
    </row>
    <row r="20" spans="1:6" x14ac:dyDescent="0.55000000000000004">
      <c r="B20" s="2">
        <f>F13-D17</f>
        <v>4000</v>
      </c>
    </row>
    <row r="22" spans="1:6" x14ac:dyDescent="0.55000000000000004">
      <c r="A22" t="s">
        <v>3</v>
      </c>
      <c r="B22" t="s">
        <v>20</v>
      </c>
    </row>
    <row r="23" spans="1:6" x14ac:dyDescent="0.55000000000000004">
      <c r="B23" s="2">
        <f>F14*B20</f>
        <v>1200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Swastik Mallick</dc:creator>
  <cp:lastModifiedBy>Swastik Mallick</cp:lastModifiedBy>
  <dcterms:created xsi:type="dcterms:W3CDTF">2025-10-07T18:51:11Z</dcterms:created>
  <dcterms:modified xsi:type="dcterms:W3CDTF">2025-10-08T02:37:26Z</dcterms:modified>
</cp:coreProperties>
</file>