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pinder\Desktop\"/>
    </mc:Choice>
  </mc:AlternateContent>
  <xr:revisionPtr revIDLastSave="0" documentId="13_ncr:1_{269CF002-26A8-4186-ACFB-BA9138D4A532}" xr6:coauthVersionLast="43" xr6:coauthVersionMax="43" xr10:uidLastSave="{00000000-0000-0000-0000-000000000000}"/>
  <bookViews>
    <workbookView xWindow="-120" yWindow="-120" windowWidth="20730" windowHeight="11160" activeTab="6" xr2:uid="{00000000-000D-0000-FFFF-FFFF00000000}"/>
  </bookViews>
  <sheets>
    <sheet name="Sheet1" sheetId="1" r:id="rId1"/>
    <sheet name="Vlookup-1" sheetId="9" r:id="rId2"/>
    <sheet name="goal seek" sheetId="5" r:id="rId3"/>
    <sheet name="V-Lookup1" sheetId="8" state="hidden" r:id="rId4"/>
    <sheet name="Data table" sheetId="6" r:id="rId5"/>
    <sheet name="Charts" sheetId="3" r:id="rId6"/>
    <sheet name="Vlookup exercise" sheetId="10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4" i="6" l="1"/>
  <c r="N15" i="8" l="1"/>
  <c r="N14" i="8"/>
  <c r="M15" i="8"/>
  <c r="M14" i="8"/>
  <c r="I9" i="8"/>
  <c r="B21" i="8"/>
  <c r="B18" i="8"/>
  <c r="B19" i="8"/>
  <c r="B20" i="8"/>
</calcChain>
</file>

<file path=xl/sharedStrings.xml><?xml version="1.0" encoding="utf-8"?>
<sst xmlns="http://schemas.openxmlformats.org/spreadsheetml/2006/main" count="256" uniqueCount="181">
  <si>
    <t>OrderDate</t>
  </si>
  <si>
    <t>Item</t>
  </si>
  <si>
    <t>Units</t>
  </si>
  <si>
    <t>Cost</t>
  </si>
  <si>
    <t>Pencil</t>
  </si>
  <si>
    <t>Binder</t>
  </si>
  <si>
    <t>Pen</t>
  </si>
  <si>
    <t>Desk</t>
  </si>
  <si>
    <t>Pen Set</t>
  </si>
  <si>
    <t>Total using formula</t>
  </si>
  <si>
    <t>Total using function</t>
  </si>
  <si>
    <t>Format painter</t>
  </si>
  <si>
    <t xml:space="preserve">Past special </t>
  </si>
  <si>
    <t>Adding commands to your quick access toolbar</t>
  </si>
  <si>
    <t>Workbook vs. Worksheet</t>
  </si>
  <si>
    <t>Adding worksheets</t>
  </si>
  <si>
    <t>Naming and renaming worksheets</t>
  </si>
  <si>
    <t>Rearranging worksheets</t>
  </si>
  <si>
    <t>Copying and moving worksheets</t>
  </si>
  <si>
    <t>Inserting and deleting columns and  rows</t>
  </si>
  <si>
    <t>Adding your comments</t>
  </si>
  <si>
    <t>Creating formulas</t>
  </si>
  <si>
    <t>Using excel built -in functions</t>
  </si>
  <si>
    <t>Copying formulas and functions</t>
  </si>
  <si>
    <t xml:space="preserve">Relative vs. absolute reference </t>
  </si>
  <si>
    <t>Anchoring cell reference</t>
  </si>
  <si>
    <t>Date</t>
  </si>
  <si>
    <t>Total cost</t>
  </si>
  <si>
    <t>Unit cost</t>
  </si>
  <si>
    <t xml:space="preserve"> Using user defined name to perform calculations</t>
  </si>
  <si>
    <t>Saving your work and naming your file</t>
  </si>
  <si>
    <t xml:space="preserve"> Printing your work </t>
  </si>
  <si>
    <t>Renaming your file</t>
  </si>
  <si>
    <t>Opening your file</t>
  </si>
  <si>
    <t>Sorting</t>
  </si>
  <si>
    <t>Find and replace</t>
  </si>
  <si>
    <t xml:space="preserve"> </t>
  </si>
  <si>
    <t>Sales Territory</t>
  </si>
  <si>
    <t>Qtr 1</t>
  </si>
  <si>
    <t>Qtr 2</t>
  </si>
  <si>
    <t>Qtr 3</t>
  </si>
  <si>
    <t>Qtr 4</t>
  </si>
  <si>
    <t>Northwest</t>
  </si>
  <si>
    <t>Northeast</t>
  </si>
  <si>
    <t>Central</t>
  </si>
  <si>
    <t>Southwest</t>
  </si>
  <si>
    <t>Southeast</t>
  </si>
  <si>
    <t>Column Chart</t>
  </si>
  <si>
    <t>Scatter (X,Y) Chart</t>
  </si>
  <si>
    <t>Entering numbers as text</t>
  </si>
  <si>
    <t>Spell check</t>
  </si>
  <si>
    <t>Entering and formatting text</t>
  </si>
  <si>
    <t>Entering and formatting dates</t>
  </si>
  <si>
    <t>Entering and formatting numbers</t>
  </si>
  <si>
    <t>D-</t>
  </si>
  <si>
    <t xml:space="preserve">D </t>
  </si>
  <si>
    <t>D+</t>
  </si>
  <si>
    <t>C-</t>
  </si>
  <si>
    <t xml:space="preserve">C </t>
  </si>
  <si>
    <t>C+</t>
  </si>
  <si>
    <t>B-</t>
  </si>
  <si>
    <t xml:space="preserve">B  </t>
  </si>
  <si>
    <t>B+</t>
  </si>
  <si>
    <t>A-</t>
  </si>
  <si>
    <t xml:space="preserve">A </t>
  </si>
  <si>
    <t>A+</t>
  </si>
  <si>
    <t>weight</t>
  </si>
  <si>
    <t>score</t>
  </si>
  <si>
    <t>Quiz</t>
  </si>
  <si>
    <t>Total sales</t>
  </si>
  <si>
    <t>Price</t>
  </si>
  <si>
    <t>min sales</t>
  </si>
  <si>
    <t>Semivariable costs</t>
  </si>
  <si>
    <t>Sales</t>
  </si>
  <si>
    <t>semivariable costs</t>
  </si>
  <si>
    <t>part number</t>
  </si>
  <si>
    <t>discription</t>
  </si>
  <si>
    <t>saw</t>
  </si>
  <si>
    <t>drill</t>
  </si>
  <si>
    <t>blower</t>
  </si>
  <si>
    <t>trimmer</t>
  </si>
  <si>
    <t>part #</t>
  </si>
  <si>
    <t>customer 
number</t>
  </si>
  <si>
    <t>customer 
name</t>
  </si>
  <si>
    <t>customer 
since</t>
  </si>
  <si>
    <t>Joe</t>
  </si>
  <si>
    <t>Mike</t>
  </si>
  <si>
    <t>Sue</t>
  </si>
  <si>
    <t>Harry</t>
  </si>
  <si>
    <t>Sam</t>
  </si>
  <si>
    <t>Joan</t>
  </si>
  <si>
    <t>Customer
Name</t>
  </si>
  <si>
    <t>Customer
Number</t>
  </si>
  <si>
    <t xml:space="preserve">Auto fill (using fill handle) </t>
  </si>
  <si>
    <t>Layla</t>
  </si>
  <si>
    <t>Adjust column width and row height</t>
  </si>
  <si>
    <t>In stock</t>
  </si>
  <si>
    <t>Instock</t>
  </si>
  <si>
    <t>F</t>
  </si>
  <si>
    <t>Product Data Table</t>
  </si>
  <si>
    <t>Product ID</t>
  </si>
  <si>
    <t>ID</t>
  </si>
  <si>
    <t>Product Name</t>
  </si>
  <si>
    <t>In Stock (Inventory)</t>
  </si>
  <si>
    <t>Unit Price</t>
  </si>
  <si>
    <t>On Order</t>
  </si>
  <si>
    <t>Chai</t>
  </si>
  <si>
    <t>Chang</t>
  </si>
  <si>
    <t>Product Price</t>
  </si>
  <si>
    <t>Aniseed Syrup</t>
  </si>
  <si>
    <t xml:space="preserve">In stock </t>
  </si>
  <si>
    <t>Mishi Kobe Niku</t>
  </si>
  <si>
    <t>On order</t>
  </si>
  <si>
    <t>Ikura</t>
  </si>
  <si>
    <t>Value of Inventory</t>
  </si>
  <si>
    <t>Queso Cabrales</t>
  </si>
  <si>
    <t>Value on order</t>
  </si>
  <si>
    <t>Konbu</t>
  </si>
  <si>
    <t>Tofu</t>
  </si>
  <si>
    <t>Genen Shouyu</t>
  </si>
  <si>
    <t>Pavlova</t>
  </si>
  <si>
    <t>Alice Mutton</t>
  </si>
  <si>
    <t>Carnarvon Tigers</t>
  </si>
  <si>
    <t>Sir Rodney's Scones</t>
  </si>
  <si>
    <t>Gustaf's Knäckebröd</t>
  </si>
  <si>
    <t>Tunnbröd</t>
  </si>
  <si>
    <t>Guaraná Fantástica</t>
  </si>
  <si>
    <t>Schoggi Schokolade</t>
  </si>
  <si>
    <t>Rössle Sauerkraut</t>
  </si>
  <si>
    <t>Thüringer Rostbratwurst</t>
  </si>
  <si>
    <t>Nord-Ost Matjeshering</t>
  </si>
  <si>
    <t>Gorgonzola Telino</t>
  </si>
  <si>
    <t>Mascarpone Fabioli</t>
  </si>
  <si>
    <t>Geitost</t>
  </si>
  <si>
    <t>Sasquatch Ale</t>
  </si>
  <si>
    <t>Steeleye Stout</t>
  </si>
  <si>
    <t>Inlagd Sill</t>
  </si>
  <si>
    <t>Gravad lax</t>
  </si>
  <si>
    <t>Côte de Blaye</t>
  </si>
  <si>
    <t>Chartreuse verte</t>
  </si>
  <si>
    <t>Boston Crab Meat</t>
  </si>
  <si>
    <t>Jack's New England Clam Chowder</t>
  </si>
  <si>
    <t>Singaporean Hokkien Fried Mee</t>
  </si>
  <si>
    <t>Ipoh Coffee</t>
  </si>
  <si>
    <t>Gula Malacca</t>
  </si>
  <si>
    <t>Rogede sild</t>
  </si>
  <si>
    <t>Spegesild</t>
  </si>
  <si>
    <t>Zaanse koeken</t>
  </si>
  <si>
    <t>Chocolade</t>
  </si>
  <si>
    <t>Maxilaku</t>
  </si>
  <si>
    <t>Valkoinen suklaa</t>
  </si>
  <si>
    <t>Manjimup Dried Apples</t>
  </si>
  <si>
    <t>Filo Mix</t>
  </si>
  <si>
    <t>Perth Pasties</t>
  </si>
  <si>
    <t>Tourtière</t>
  </si>
  <si>
    <t>Pâté chinois</t>
  </si>
  <si>
    <t>Gnocchi di nonna Alice</t>
  </si>
  <si>
    <t>Ravioli Angelo</t>
  </si>
  <si>
    <t>Escargots de Bourgogne</t>
  </si>
  <si>
    <t>Raclette Courdavault</t>
  </si>
  <si>
    <t>Camembert Pierrot</t>
  </si>
  <si>
    <t>Sirop d'érable</t>
  </si>
  <si>
    <t>Tarte au sucre</t>
  </si>
  <si>
    <t>Vegie-spread</t>
  </si>
  <si>
    <t>Wimmers gute Semmelknödel</t>
  </si>
  <si>
    <t>Louisiana Fiery Hot Pepper Sauce</t>
  </si>
  <si>
    <t>Louisiana Hot Spiced Okra</t>
  </si>
  <si>
    <t>Laughing Lumberjack Lager</t>
  </si>
  <si>
    <t>Scottish Longbreads</t>
  </si>
  <si>
    <t>Gudbrandsdalsost</t>
  </si>
  <si>
    <t>Outback Lager</t>
  </si>
  <si>
    <t>Flotemysost</t>
  </si>
  <si>
    <t>Mozzarella di Giovanni</t>
  </si>
  <si>
    <t>Röd Kaviar</t>
  </si>
  <si>
    <t>Longlife Tofu</t>
  </si>
  <si>
    <t>Rhönbräu Klosterbier</t>
  </si>
  <si>
    <t>Lakkalikööri</t>
  </si>
  <si>
    <t>Original Frankfurter grüne Soße</t>
  </si>
  <si>
    <t xml:space="preserve"> Using name manager to name cells and ranges </t>
  </si>
  <si>
    <t>Price per unit</t>
  </si>
  <si>
    <t>number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</si>
</sst>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Aparajita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Font="1" applyFill="1" applyBorder="1" applyAlignment="1">
      <alignment horizontal="right" vertical="center" wrapText="1"/>
    </xf>
    <xf numFmtId="14" fontId="0" fillId="0" borderId="0" xfId="0" applyNumberFormat="1" applyBorder="1" applyAlignment="1">
      <alignment horizontal="right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4" fontId="0" fillId="0" borderId="0" xfId="0" applyNumberFormat="1" applyBorder="1" applyAlignment="1">
      <alignment horizontal="righ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2" borderId="0" xfId="0" applyFill="1"/>
    <xf numFmtId="0" fontId="1" fillId="0" borderId="0" xfId="0" applyFont="1" applyFill="1" applyBorder="1"/>
    <xf numFmtId="0" fontId="1" fillId="0" borderId="0" xfId="0" applyFont="1" applyBorder="1"/>
    <xf numFmtId="0" fontId="0" fillId="0" borderId="0" xfId="0" applyBorder="1"/>
    <xf numFmtId="9" fontId="0" fillId="0" borderId="0" xfId="0" applyNumberFormat="1"/>
    <xf numFmtId="0" fontId="0" fillId="0" borderId="0" xfId="0" applyAlignment="1">
      <alignment wrapText="1"/>
    </xf>
    <xf numFmtId="43" fontId="0" fillId="2" borderId="0" xfId="1" applyFont="1" applyFill="1"/>
    <xf numFmtId="0" fontId="4" fillId="3" borderId="2" xfId="0" applyFont="1" applyFill="1" applyBorder="1" applyAlignment="1">
      <alignment horizontal="centerContinuous"/>
    </xf>
    <xf numFmtId="0" fontId="4" fillId="3" borderId="3" xfId="0" applyFont="1" applyFill="1" applyBorder="1" applyAlignment="1">
      <alignment horizontal="centerContinuous"/>
    </xf>
    <xf numFmtId="0" fontId="4" fillId="3" borderId="4" xfId="0" applyFont="1" applyFill="1" applyBorder="1" applyAlignment="1">
      <alignment horizontal="centerContinuous"/>
    </xf>
    <xf numFmtId="0" fontId="5" fillId="0" borderId="1" xfId="0" applyFont="1" applyBorder="1" applyAlignment="1">
      <alignment horizontal="center"/>
    </xf>
    <xf numFmtId="0" fontId="6" fillId="0" borderId="5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8" fontId="1" fillId="0" borderId="0" xfId="0" applyNumberFormat="1" applyFont="1" applyAlignment="1">
      <alignment horizontal="right" vertical="center"/>
    </xf>
    <xf numFmtId="0" fontId="0" fillId="4" borderId="1" xfId="0" applyFill="1" applyBorder="1"/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8" fontId="7" fillId="0" borderId="0" xfId="0" applyNumberFormat="1" applyFont="1" applyAlignment="1">
      <alignment horizontal="right" vertical="center"/>
    </xf>
    <xf numFmtId="0" fontId="0" fillId="2" borderId="1" xfId="0" applyFill="1" applyBorder="1"/>
    <xf numFmtId="43" fontId="0" fillId="0" borderId="0" xfId="1" applyFont="1"/>
    <xf numFmtId="43" fontId="0" fillId="0" borderId="1" xfId="1" applyFont="1" applyBorder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3</xdr:row>
      <xdr:rowOff>171450</xdr:rowOff>
    </xdr:from>
    <xdr:to>
      <xdr:col>15</xdr:col>
      <xdr:colOff>333375</xdr:colOff>
      <xdr:row>12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629275" y="742950"/>
          <a:ext cx="3848100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 What is</a:t>
          </a:r>
          <a:r>
            <a:rPr lang="en-US" sz="1100" baseline="0"/>
            <a:t> the highest grade you can score in this class?</a:t>
          </a:r>
        </a:p>
        <a:p>
          <a:endParaRPr lang="en-US" sz="1100" baseline="0"/>
        </a:p>
        <a:p>
          <a:r>
            <a:rPr lang="en-US" sz="1100" baseline="0"/>
            <a:t>2)  How much do you have to score in quiz 5 to end up with a C?</a:t>
          </a:r>
        </a:p>
        <a:p>
          <a:endParaRPr lang="en-US" sz="1100" baseline="0"/>
        </a:p>
        <a:p>
          <a:r>
            <a:rPr lang="en-US" sz="1100" baseline="0"/>
            <a:t>3)  How much do you have to score in quiz 5 to pass the course?</a:t>
          </a:r>
        </a:p>
        <a:p>
          <a:endParaRPr lang="en-US" sz="1100" baseline="0"/>
        </a:p>
        <a:p>
          <a:r>
            <a:rPr lang="en-US" sz="1100" baseline="0"/>
            <a:t>4) Use vlookup function to find your grade if you score 100 in quiz 5.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0</xdr:row>
      <xdr:rowOff>114299</xdr:rowOff>
    </xdr:from>
    <xdr:to>
      <xdr:col>17</xdr:col>
      <xdr:colOff>152400</xdr:colOff>
      <xdr:row>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7143750" y="114299"/>
          <a:ext cx="3800475" cy="15621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Using data table to perform</a:t>
          </a:r>
          <a:r>
            <a:rPr lang="en-US" sz="1100" baseline="0"/>
            <a:t> sensitivity analysis. </a:t>
          </a:r>
        </a:p>
        <a:p>
          <a:r>
            <a:rPr lang="en-US" sz="1100" u="sng" baseline="0"/>
            <a:t>Output:  </a:t>
          </a:r>
          <a:r>
            <a:rPr lang="en-US" sz="1100" baseline="0"/>
            <a:t>Total Sales</a:t>
          </a:r>
        </a:p>
        <a:p>
          <a:r>
            <a:rPr lang="en-US" sz="1100" u="sng" baseline="0"/>
            <a:t>Input:</a:t>
          </a:r>
        </a:p>
        <a:p>
          <a:r>
            <a:rPr lang="en-US" sz="1100"/>
            <a:t>1) Minimum  50 Units.</a:t>
          </a:r>
          <a:r>
            <a:rPr lang="en-US" sz="1100" baseline="0"/>
            <a:t> Maximum 150 units. (stepping by 10)</a:t>
          </a:r>
        </a:p>
        <a:p>
          <a:r>
            <a:rPr lang="en-US" sz="1100" baseline="0"/>
            <a:t>2) Minimum price $10. Maximum price $30. (stepping by 5)</a:t>
          </a:r>
        </a:p>
        <a:p>
          <a:r>
            <a:rPr lang="en-US" sz="1100" baseline="0"/>
            <a:t>3) Combine 1 &amp; 2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workbookViewId="0">
      <selection activeCell="H2" sqref="H2"/>
    </sheetView>
  </sheetViews>
  <sheetFormatPr defaultRowHeight="15" x14ac:dyDescent="0.25"/>
  <cols>
    <col min="1" max="1" width="3.28515625" customWidth="1"/>
    <col min="2" max="2" width="8.28515625" customWidth="1"/>
    <col min="5" max="5" width="12.5703125" customWidth="1"/>
    <col min="18" max="18" width="32.28515625" customWidth="1"/>
    <col min="22" max="22" width="43.7109375" customWidth="1"/>
  </cols>
  <sheetData>
    <row r="1" spans="1:15" ht="16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9</v>
      </c>
      <c r="F1" s="6" t="s">
        <v>10</v>
      </c>
    </row>
    <row r="2" spans="1:15" x14ac:dyDescent="0.25">
      <c r="A2" s="2">
        <v>40914</v>
      </c>
      <c r="B2" s="3" t="s">
        <v>4</v>
      </c>
      <c r="C2" s="4">
        <v>95</v>
      </c>
      <c r="D2" s="4">
        <v>1.99</v>
      </c>
      <c r="E2" t="s">
        <v>36</v>
      </c>
      <c r="J2" s="4"/>
      <c r="K2" t="s">
        <v>36</v>
      </c>
    </row>
    <row r="3" spans="1:15" x14ac:dyDescent="0.25">
      <c r="A3" s="2">
        <v>40931</v>
      </c>
      <c r="B3" s="3" t="s">
        <v>5</v>
      </c>
      <c r="C3" s="4">
        <v>50</v>
      </c>
      <c r="D3" s="4">
        <v>19.989999999999998</v>
      </c>
      <c r="E3" s="4"/>
    </row>
    <row r="4" spans="1:15" x14ac:dyDescent="0.25">
      <c r="A4" s="2">
        <v>40948</v>
      </c>
      <c r="B4" s="3" t="s">
        <v>4</v>
      </c>
      <c r="C4" s="4">
        <v>36</v>
      </c>
      <c r="D4" s="4">
        <v>4.99</v>
      </c>
      <c r="E4" s="4"/>
      <c r="L4" s="7"/>
      <c r="M4" s="14" t="s">
        <v>95</v>
      </c>
      <c r="N4" s="15"/>
      <c r="O4" s="15"/>
    </row>
    <row r="5" spans="1:15" x14ac:dyDescent="0.25">
      <c r="A5" s="2">
        <v>40965</v>
      </c>
      <c r="B5" s="3" t="s">
        <v>6</v>
      </c>
      <c r="C5" s="4">
        <v>27</v>
      </c>
      <c r="D5" s="4">
        <v>19.989999999999998</v>
      </c>
      <c r="E5" s="4"/>
      <c r="L5" s="7"/>
      <c r="M5" s="14" t="s">
        <v>19</v>
      </c>
      <c r="N5" s="15"/>
      <c r="O5" s="15"/>
    </row>
    <row r="6" spans="1:15" x14ac:dyDescent="0.25">
      <c r="A6" s="2">
        <v>40983</v>
      </c>
      <c r="B6" s="3" t="s">
        <v>4</v>
      </c>
      <c r="C6" s="4">
        <v>56</v>
      </c>
      <c r="D6" s="4">
        <v>2.99</v>
      </c>
      <c r="E6" s="4"/>
      <c r="L6" s="7"/>
      <c r="M6" s="14" t="s">
        <v>51</v>
      </c>
      <c r="N6" s="15"/>
      <c r="O6" s="15"/>
    </row>
    <row r="7" spans="1:15" x14ac:dyDescent="0.25">
      <c r="A7" s="2">
        <v>41000</v>
      </c>
      <c r="B7" s="3" t="s">
        <v>5</v>
      </c>
      <c r="C7" s="4">
        <v>60</v>
      </c>
      <c r="D7" s="4">
        <v>4.99</v>
      </c>
      <c r="E7" s="4"/>
      <c r="L7" s="7"/>
      <c r="M7" s="14" t="s">
        <v>11</v>
      </c>
      <c r="N7" s="15"/>
      <c r="O7" s="15"/>
    </row>
    <row r="8" spans="1:15" x14ac:dyDescent="0.25">
      <c r="A8" s="2">
        <v>41017</v>
      </c>
      <c r="B8" s="3" t="s">
        <v>4</v>
      </c>
      <c r="C8" s="4">
        <v>75</v>
      </c>
      <c r="D8" s="4">
        <v>1.99</v>
      </c>
      <c r="E8" s="4"/>
      <c r="L8" s="8"/>
      <c r="M8" s="14" t="s">
        <v>13</v>
      </c>
    </row>
    <row r="9" spans="1:15" x14ac:dyDescent="0.25">
      <c r="A9" s="2">
        <v>41034</v>
      </c>
      <c r="B9" s="3" t="s">
        <v>4</v>
      </c>
      <c r="C9" s="4">
        <v>90</v>
      </c>
      <c r="D9" s="4">
        <v>4.99</v>
      </c>
      <c r="E9" s="4"/>
      <c r="L9" s="7"/>
      <c r="M9" s="14" t="s">
        <v>53</v>
      </c>
      <c r="N9" s="15"/>
      <c r="O9" s="15"/>
    </row>
    <row r="10" spans="1:15" ht="15" customHeight="1" x14ac:dyDescent="0.25">
      <c r="A10" s="2">
        <v>41051</v>
      </c>
      <c r="B10" s="3" t="s">
        <v>4</v>
      </c>
      <c r="C10" s="4">
        <v>32</v>
      </c>
      <c r="D10" s="4">
        <v>1.99</v>
      </c>
      <c r="E10" s="4"/>
      <c r="L10" s="8"/>
      <c r="M10" s="14" t="s">
        <v>93</v>
      </c>
      <c r="N10" s="15"/>
      <c r="O10" s="15"/>
    </row>
    <row r="11" spans="1:15" x14ac:dyDescent="0.25">
      <c r="A11" s="2">
        <v>41068</v>
      </c>
      <c r="B11" s="3" t="s">
        <v>5</v>
      </c>
      <c r="C11" s="4">
        <v>60</v>
      </c>
      <c r="D11" s="4">
        <v>8.99</v>
      </c>
      <c r="E11" s="4"/>
      <c r="L11" s="7"/>
      <c r="M11" s="13" t="s">
        <v>49</v>
      </c>
      <c r="N11" s="15"/>
      <c r="O11" s="15"/>
    </row>
    <row r="12" spans="1:15" x14ac:dyDescent="0.25">
      <c r="A12" s="2">
        <v>41085</v>
      </c>
      <c r="B12" s="3" t="s">
        <v>4</v>
      </c>
      <c r="C12" s="4">
        <v>90</v>
      </c>
      <c r="D12" s="4">
        <v>4.99</v>
      </c>
      <c r="E12" s="4"/>
      <c r="L12" s="7"/>
      <c r="M12" s="13" t="s">
        <v>50</v>
      </c>
    </row>
    <row r="13" spans="1:15" x14ac:dyDescent="0.25">
      <c r="A13" s="2">
        <v>41102</v>
      </c>
      <c r="B13" s="3" t="s">
        <v>5</v>
      </c>
      <c r="C13" s="4">
        <v>29</v>
      </c>
      <c r="D13" s="4">
        <v>1.99</v>
      </c>
      <c r="E13" s="4"/>
      <c r="L13" s="7"/>
      <c r="M13" s="14" t="s">
        <v>52</v>
      </c>
      <c r="N13" s="15"/>
      <c r="O13" s="15"/>
    </row>
    <row r="14" spans="1:15" x14ac:dyDescent="0.25">
      <c r="A14" s="2">
        <v>41119</v>
      </c>
      <c r="B14" s="3" t="s">
        <v>5</v>
      </c>
      <c r="C14" s="4">
        <v>81</v>
      </c>
      <c r="D14" s="4">
        <v>19.989999999999998</v>
      </c>
      <c r="E14" s="5"/>
      <c r="L14" s="7"/>
      <c r="M14" s="14" t="s">
        <v>20</v>
      </c>
      <c r="N14" s="15"/>
      <c r="O14" s="15"/>
    </row>
    <row r="15" spans="1:15" x14ac:dyDescent="0.25">
      <c r="A15" s="2">
        <v>41136</v>
      </c>
      <c r="B15" s="3" t="s">
        <v>4</v>
      </c>
      <c r="C15" s="4">
        <v>35</v>
      </c>
      <c r="D15" s="4">
        <v>4.99</v>
      </c>
      <c r="E15" s="4"/>
      <c r="L15" s="7"/>
      <c r="M15" s="14" t="s">
        <v>21</v>
      </c>
      <c r="N15" s="15"/>
      <c r="O15" s="15"/>
    </row>
    <row r="16" spans="1:15" x14ac:dyDescent="0.25">
      <c r="A16" s="2">
        <v>41153</v>
      </c>
      <c r="B16" s="3" t="s">
        <v>7</v>
      </c>
      <c r="C16" s="4">
        <v>2</v>
      </c>
      <c r="D16" s="4">
        <v>125</v>
      </c>
      <c r="E16" s="4"/>
      <c r="L16" s="7"/>
      <c r="M16" s="14" t="s">
        <v>22</v>
      </c>
      <c r="N16" s="15"/>
      <c r="O16" s="15"/>
    </row>
    <row r="17" spans="1:15" x14ac:dyDescent="0.25">
      <c r="A17" s="2">
        <v>41170</v>
      </c>
      <c r="B17" s="3" t="s">
        <v>8</v>
      </c>
      <c r="C17" s="4">
        <v>16</v>
      </c>
      <c r="D17" s="4">
        <v>15.99</v>
      </c>
      <c r="E17" s="4"/>
      <c r="L17" s="7"/>
      <c r="M17" s="13"/>
    </row>
    <row r="18" spans="1:15" x14ac:dyDescent="0.25">
      <c r="A18" s="2">
        <v>41187</v>
      </c>
      <c r="B18" s="3" t="s">
        <v>5</v>
      </c>
      <c r="C18" s="4">
        <v>28</v>
      </c>
      <c r="D18" s="4">
        <v>8.99</v>
      </c>
      <c r="E18" s="4"/>
      <c r="L18" s="7"/>
      <c r="M18" s="14" t="s">
        <v>23</v>
      </c>
      <c r="N18" s="15"/>
      <c r="O18" s="15"/>
    </row>
    <row r="19" spans="1:15" x14ac:dyDescent="0.25">
      <c r="A19" s="2">
        <v>41204</v>
      </c>
      <c r="B19" s="3" t="s">
        <v>6</v>
      </c>
      <c r="C19" s="4">
        <v>64</v>
      </c>
      <c r="D19" s="4">
        <v>8.99</v>
      </c>
      <c r="E19" s="4"/>
      <c r="L19" s="7"/>
      <c r="M19" s="14" t="s">
        <v>36</v>
      </c>
      <c r="N19" s="15"/>
      <c r="O19" s="15"/>
    </row>
    <row r="20" spans="1:15" x14ac:dyDescent="0.25">
      <c r="A20" s="2">
        <v>41221</v>
      </c>
      <c r="B20" s="3" t="s">
        <v>6</v>
      </c>
      <c r="C20" s="4">
        <v>15</v>
      </c>
      <c r="D20" s="4">
        <v>19.989999999999998</v>
      </c>
      <c r="E20" s="4"/>
      <c r="L20" s="7"/>
      <c r="M20" s="14" t="s">
        <v>24</v>
      </c>
      <c r="N20" s="15"/>
      <c r="O20" s="15"/>
    </row>
    <row r="21" spans="1:15" x14ac:dyDescent="0.25">
      <c r="A21" s="2">
        <v>41238</v>
      </c>
      <c r="B21" s="3" t="s">
        <v>8</v>
      </c>
      <c r="C21" s="4">
        <v>96</v>
      </c>
      <c r="D21" s="4">
        <v>4.99</v>
      </c>
      <c r="E21" s="4"/>
      <c r="L21" s="7"/>
      <c r="M21" s="14" t="s">
        <v>25</v>
      </c>
      <c r="N21" s="15"/>
      <c r="O21" s="15"/>
    </row>
    <row r="22" spans="1:15" x14ac:dyDescent="0.25">
      <c r="A22" s="2">
        <v>41255</v>
      </c>
      <c r="B22" s="3" t="s">
        <v>4</v>
      </c>
      <c r="C22" s="4">
        <v>67</v>
      </c>
      <c r="D22" s="4">
        <v>1.29</v>
      </c>
      <c r="E22" s="4"/>
      <c r="L22" s="7"/>
      <c r="M22" s="14" t="s">
        <v>12</v>
      </c>
      <c r="N22" s="15"/>
      <c r="O22" s="15"/>
    </row>
    <row r="23" spans="1:15" x14ac:dyDescent="0.25">
      <c r="A23" s="2">
        <v>41272</v>
      </c>
      <c r="B23" s="3" t="s">
        <v>8</v>
      </c>
      <c r="C23" s="4">
        <v>74</v>
      </c>
      <c r="D23" s="4">
        <v>15.99</v>
      </c>
      <c r="E23" s="5"/>
      <c r="L23" s="7"/>
      <c r="M23" s="14" t="s">
        <v>34</v>
      </c>
      <c r="N23" s="15"/>
      <c r="O23" s="15"/>
    </row>
    <row r="24" spans="1:15" x14ac:dyDescent="0.25">
      <c r="A24" s="2">
        <v>41289</v>
      </c>
      <c r="B24" s="3" t="s">
        <v>5</v>
      </c>
      <c r="C24" s="4">
        <v>46</v>
      </c>
      <c r="D24" s="4">
        <v>8.99</v>
      </c>
      <c r="E24" s="4"/>
      <c r="L24" s="7"/>
      <c r="M24" s="14" t="s">
        <v>35</v>
      </c>
      <c r="N24" s="15"/>
      <c r="O24" s="15"/>
    </row>
    <row r="25" spans="1:15" x14ac:dyDescent="0.25">
      <c r="A25" s="2">
        <v>41306</v>
      </c>
      <c r="B25" s="3" t="s">
        <v>5</v>
      </c>
      <c r="C25" s="4">
        <v>87</v>
      </c>
      <c r="D25" s="4">
        <v>15</v>
      </c>
      <c r="E25" s="5"/>
      <c r="L25" s="7"/>
      <c r="M25" s="14" t="s">
        <v>178</v>
      </c>
      <c r="N25" s="15"/>
      <c r="O25" s="15"/>
    </row>
    <row r="26" spans="1:15" x14ac:dyDescent="0.25">
      <c r="A26" s="2">
        <v>41323</v>
      </c>
      <c r="B26" s="3" t="s">
        <v>5</v>
      </c>
      <c r="C26" s="4">
        <v>4</v>
      </c>
      <c r="D26" s="4">
        <v>4.99</v>
      </c>
      <c r="E26" s="4"/>
      <c r="L26" s="7"/>
      <c r="M26" s="14" t="s">
        <v>29</v>
      </c>
      <c r="N26" s="15"/>
      <c r="O26" s="15"/>
    </row>
    <row r="27" spans="1:15" x14ac:dyDescent="0.25">
      <c r="A27" s="2">
        <v>41340</v>
      </c>
      <c r="B27" s="3" t="s">
        <v>5</v>
      </c>
      <c r="C27" s="4">
        <v>7</v>
      </c>
      <c r="D27" s="4">
        <v>19.989999999999998</v>
      </c>
      <c r="E27" s="4"/>
      <c r="L27" s="7"/>
      <c r="M27" s="14" t="s">
        <v>30</v>
      </c>
      <c r="N27" s="15"/>
      <c r="O27" s="15"/>
    </row>
    <row r="28" spans="1:15" x14ac:dyDescent="0.25">
      <c r="A28" s="2">
        <v>41357</v>
      </c>
      <c r="B28" s="3" t="s">
        <v>8</v>
      </c>
      <c r="C28" s="4">
        <v>50</v>
      </c>
      <c r="D28" s="4">
        <v>4.99</v>
      </c>
      <c r="E28" s="4"/>
      <c r="L28" s="7"/>
      <c r="M28" s="14" t="s">
        <v>32</v>
      </c>
      <c r="N28" s="15"/>
      <c r="O28" s="15"/>
    </row>
    <row r="29" spans="1:15" x14ac:dyDescent="0.25">
      <c r="A29" s="2">
        <v>41374</v>
      </c>
      <c r="B29" s="3" t="s">
        <v>4</v>
      </c>
      <c r="C29" s="4">
        <v>66</v>
      </c>
      <c r="D29" s="4">
        <v>1.99</v>
      </c>
      <c r="E29" s="4"/>
      <c r="L29" s="7"/>
      <c r="M29" s="14" t="s">
        <v>33</v>
      </c>
      <c r="N29" s="15"/>
      <c r="O29" s="15"/>
    </row>
    <row r="30" spans="1:15" x14ac:dyDescent="0.25">
      <c r="A30" s="2">
        <v>41391</v>
      </c>
      <c r="B30" s="3" t="s">
        <v>6</v>
      </c>
      <c r="C30" s="4">
        <v>96</v>
      </c>
      <c r="D30" s="4">
        <v>4.99</v>
      </c>
      <c r="E30" s="4"/>
      <c r="L30" s="7"/>
      <c r="N30" s="15"/>
      <c r="O30" s="15"/>
    </row>
    <row r="31" spans="1:15" x14ac:dyDescent="0.25">
      <c r="A31" s="2">
        <v>41408</v>
      </c>
      <c r="B31" s="3" t="s">
        <v>4</v>
      </c>
      <c r="C31" s="4">
        <v>53</v>
      </c>
      <c r="D31" s="4">
        <v>1.29</v>
      </c>
      <c r="E31" s="4"/>
      <c r="L31" s="7"/>
      <c r="M31" s="14" t="s">
        <v>14</v>
      </c>
      <c r="N31" s="15"/>
      <c r="O31" s="15"/>
    </row>
    <row r="32" spans="1:15" x14ac:dyDescent="0.25">
      <c r="A32" s="2">
        <v>41425</v>
      </c>
      <c r="B32" s="3" t="s">
        <v>5</v>
      </c>
      <c r="C32" s="4">
        <v>80</v>
      </c>
      <c r="D32" s="4">
        <v>8.99</v>
      </c>
      <c r="E32" s="4"/>
      <c r="L32" s="7"/>
      <c r="M32" s="14" t="s">
        <v>15</v>
      </c>
      <c r="N32" s="15"/>
      <c r="O32" s="15"/>
    </row>
    <row r="33" spans="1:15" x14ac:dyDescent="0.25">
      <c r="A33" s="2">
        <v>41442</v>
      </c>
      <c r="B33" s="3" t="s">
        <v>7</v>
      </c>
      <c r="C33" s="4">
        <v>5</v>
      </c>
      <c r="D33" s="4">
        <v>125</v>
      </c>
      <c r="E33" s="4"/>
      <c r="L33" s="7"/>
      <c r="M33" s="14" t="s">
        <v>16</v>
      </c>
      <c r="N33" s="15"/>
      <c r="O33" s="15"/>
    </row>
    <row r="34" spans="1:15" x14ac:dyDescent="0.25">
      <c r="A34" s="2">
        <v>41459</v>
      </c>
      <c r="B34" s="3" t="s">
        <v>8</v>
      </c>
      <c r="C34" s="4">
        <v>62</v>
      </c>
      <c r="D34" s="4">
        <v>4.99</v>
      </c>
      <c r="E34" s="4"/>
      <c r="L34" s="7"/>
      <c r="M34" s="14" t="s">
        <v>17</v>
      </c>
      <c r="N34" s="15"/>
      <c r="O34" s="15"/>
    </row>
    <row r="35" spans="1:15" x14ac:dyDescent="0.25">
      <c r="A35" s="2">
        <v>41476</v>
      </c>
      <c r="B35" s="3" t="s">
        <v>8</v>
      </c>
      <c r="C35" s="4">
        <v>55</v>
      </c>
      <c r="D35" s="4">
        <v>12.49</v>
      </c>
      <c r="E35" s="4"/>
      <c r="L35" s="7"/>
      <c r="M35" s="14" t="s">
        <v>18</v>
      </c>
      <c r="N35" s="15"/>
      <c r="O35" s="15"/>
    </row>
    <row r="36" spans="1:15" x14ac:dyDescent="0.25">
      <c r="A36" s="2">
        <v>41493</v>
      </c>
      <c r="B36" s="3" t="s">
        <v>8</v>
      </c>
      <c r="C36" s="4">
        <v>42</v>
      </c>
      <c r="D36" s="4">
        <v>23.95</v>
      </c>
      <c r="E36" s="5"/>
      <c r="L36" s="7"/>
      <c r="M36" s="14" t="s">
        <v>31</v>
      </c>
      <c r="N36" s="15"/>
      <c r="O36" s="15"/>
    </row>
    <row r="37" spans="1:15" x14ac:dyDescent="0.25">
      <c r="A37" s="2">
        <v>41510</v>
      </c>
      <c r="B37" s="3" t="s">
        <v>7</v>
      </c>
      <c r="C37" s="4">
        <v>3</v>
      </c>
      <c r="D37" s="4">
        <v>275</v>
      </c>
      <c r="E37" s="4"/>
    </row>
    <row r="38" spans="1:15" x14ac:dyDescent="0.25">
      <c r="A38" s="2">
        <v>41527</v>
      </c>
      <c r="B38" s="3" t="s">
        <v>4</v>
      </c>
      <c r="C38" s="4">
        <v>7</v>
      </c>
      <c r="D38" s="4">
        <v>1.29</v>
      </c>
      <c r="E38" s="4"/>
    </row>
    <row r="39" spans="1:15" x14ac:dyDescent="0.25">
      <c r="A39" s="2">
        <v>41544</v>
      </c>
      <c r="B39" s="3" t="s">
        <v>6</v>
      </c>
      <c r="C39" s="4">
        <v>76</v>
      </c>
      <c r="D39" s="4">
        <v>1.99</v>
      </c>
      <c r="E39" s="4"/>
    </row>
    <row r="40" spans="1:15" x14ac:dyDescent="0.25">
      <c r="A40" s="2">
        <v>41561</v>
      </c>
      <c r="B40" s="3" t="s">
        <v>5</v>
      </c>
      <c r="C40" s="4">
        <v>57</v>
      </c>
      <c r="D40" s="4">
        <v>19.989999999999998</v>
      </c>
      <c r="E40" s="5"/>
    </row>
    <row r="41" spans="1:15" x14ac:dyDescent="0.25">
      <c r="A41" s="2">
        <v>41578</v>
      </c>
      <c r="B41" s="3" t="s">
        <v>4</v>
      </c>
      <c r="C41" s="4">
        <v>14</v>
      </c>
      <c r="D41" s="4">
        <v>1.29</v>
      </c>
      <c r="E41" s="4"/>
    </row>
    <row r="42" spans="1:15" x14ac:dyDescent="0.25">
      <c r="A42" s="2">
        <v>41595</v>
      </c>
      <c r="B42" s="3" t="s">
        <v>5</v>
      </c>
      <c r="C42" s="4">
        <v>11</v>
      </c>
      <c r="D42" s="4">
        <v>4.99</v>
      </c>
      <c r="E42" s="4"/>
    </row>
    <row r="43" spans="1:15" x14ac:dyDescent="0.25">
      <c r="A43" s="2">
        <v>41612</v>
      </c>
      <c r="B43" s="3" t="s">
        <v>5</v>
      </c>
      <c r="C43" s="4">
        <v>94</v>
      </c>
      <c r="D43" s="4">
        <v>19.989999999999998</v>
      </c>
      <c r="E43" s="5"/>
    </row>
    <row r="44" spans="1:15" x14ac:dyDescent="0.25">
      <c r="A44" s="2">
        <v>41629</v>
      </c>
      <c r="B44" s="3" t="s">
        <v>5</v>
      </c>
      <c r="C44" s="4">
        <v>28</v>
      </c>
      <c r="D44" s="4">
        <v>4.99</v>
      </c>
      <c r="E44" s="4"/>
    </row>
    <row r="49" spans="1:3" x14ac:dyDescent="0.25">
      <c r="A49" t="s">
        <v>28</v>
      </c>
      <c r="B49">
        <v>20</v>
      </c>
    </row>
    <row r="50" spans="1:3" x14ac:dyDescent="0.25">
      <c r="A50" t="s">
        <v>26</v>
      </c>
      <c r="B50" s="1" t="s">
        <v>2</v>
      </c>
      <c r="C50" t="s">
        <v>27</v>
      </c>
    </row>
    <row r="51" spans="1:3" x14ac:dyDescent="0.25">
      <c r="A51" s="2">
        <v>40914</v>
      </c>
      <c r="B51" s="4">
        <v>95</v>
      </c>
    </row>
    <row r="52" spans="1:3" x14ac:dyDescent="0.25">
      <c r="A52" s="2">
        <v>40931</v>
      </c>
      <c r="B52" s="4">
        <v>50</v>
      </c>
    </row>
    <row r="53" spans="1:3" x14ac:dyDescent="0.25">
      <c r="A53" s="2">
        <v>40948</v>
      </c>
      <c r="B53" s="4">
        <v>36</v>
      </c>
    </row>
    <row r="54" spans="1:3" x14ac:dyDescent="0.25">
      <c r="A54" s="2">
        <v>40965</v>
      </c>
      <c r="B54" s="4">
        <v>27</v>
      </c>
    </row>
    <row r="55" spans="1:3" x14ac:dyDescent="0.25">
      <c r="A55" s="2">
        <v>40983</v>
      </c>
      <c r="B55" s="4">
        <v>56</v>
      </c>
    </row>
    <row r="56" spans="1:3" x14ac:dyDescent="0.25">
      <c r="A56" s="2">
        <v>41000</v>
      </c>
      <c r="B56" s="4">
        <v>60</v>
      </c>
    </row>
    <row r="57" spans="1:3" x14ac:dyDescent="0.25">
      <c r="A57" s="2">
        <v>41017</v>
      </c>
      <c r="B57" s="4">
        <v>75</v>
      </c>
    </row>
    <row r="58" spans="1:3" x14ac:dyDescent="0.25">
      <c r="A58" s="2">
        <v>41034</v>
      </c>
      <c r="B58" s="4">
        <v>90</v>
      </c>
    </row>
    <row r="59" spans="1:3" x14ac:dyDescent="0.25">
      <c r="A59" s="2">
        <v>41051</v>
      </c>
      <c r="B59" s="4">
        <v>32</v>
      </c>
    </row>
    <row r="60" spans="1:3" x14ac:dyDescent="0.25">
      <c r="A60" s="2">
        <v>41068</v>
      </c>
      <c r="B60" s="4">
        <v>60</v>
      </c>
    </row>
    <row r="61" spans="1:3" x14ac:dyDescent="0.25">
      <c r="A61" s="2">
        <v>41085</v>
      </c>
      <c r="B61" s="4">
        <v>90</v>
      </c>
    </row>
    <row r="62" spans="1:3" x14ac:dyDescent="0.25">
      <c r="A62" s="2">
        <v>41102</v>
      </c>
      <c r="B62" s="4">
        <v>29</v>
      </c>
    </row>
    <row r="63" spans="1:3" x14ac:dyDescent="0.25">
      <c r="A63" s="2">
        <v>41119</v>
      </c>
      <c r="B63" s="4">
        <v>81</v>
      </c>
    </row>
    <row r="64" spans="1:3" x14ac:dyDescent="0.25">
      <c r="A64" s="2">
        <v>41136</v>
      </c>
      <c r="B64" s="4">
        <v>35</v>
      </c>
    </row>
    <row r="65" spans="1:2" x14ac:dyDescent="0.25">
      <c r="A65" s="2">
        <v>41153</v>
      </c>
      <c r="B65" s="4">
        <v>2</v>
      </c>
    </row>
    <row r="66" spans="1:2" x14ac:dyDescent="0.25">
      <c r="A66" s="2">
        <v>41170</v>
      </c>
      <c r="B66" s="4">
        <v>16</v>
      </c>
    </row>
    <row r="67" spans="1:2" x14ac:dyDescent="0.25">
      <c r="A67" s="2">
        <v>41187</v>
      </c>
      <c r="B67" s="4">
        <v>28</v>
      </c>
    </row>
    <row r="68" spans="1:2" x14ac:dyDescent="0.25">
      <c r="A68" s="2">
        <v>41204</v>
      </c>
      <c r="B68" s="4">
        <v>64</v>
      </c>
    </row>
    <row r="69" spans="1:2" x14ac:dyDescent="0.25">
      <c r="A69" s="2">
        <v>41221</v>
      </c>
      <c r="B69" s="4">
        <v>15</v>
      </c>
    </row>
    <row r="70" spans="1:2" x14ac:dyDescent="0.25">
      <c r="A70" s="2">
        <v>41238</v>
      </c>
      <c r="B70" s="4">
        <v>96</v>
      </c>
    </row>
    <row r="71" spans="1:2" x14ac:dyDescent="0.25">
      <c r="A71" s="2">
        <v>41255</v>
      </c>
      <c r="B71" s="4">
        <v>67</v>
      </c>
    </row>
    <row r="72" spans="1:2" x14ac:dyDescent="0.25">
      <c r="A72" s="2">
        <v>41272</v>
      </c>
      <c r="B72" s="4">
        <v>74</v>
      </c>
    </row>
    <row r="73" spans="1:2" x14ac:dyDescent="0.25">
      <c r="A73" s="2">
        <v>41289</v>
      </c>
      <c r="B73" s="4">
        <v>46</v>
      </c>
    </row>
    <row r="74" spans="1:2" x14ac:dyDescent="0.25">
      <c r="A74" s="2">
        <v>41306</v>
      </c>
      <c r="B74" s="4">
        <v>87</v>
      </c>
    </row>
    <row r="75" spans="1:2" x14ac:dyDescent="0.25">
      <c r="A75" s="2">
        <v>41323</v>
      </c>
      <c r="B75" s="4">
        <v>4</v>
      </c>
    </row>
    <row r="76" spans="1:2" x14ac:dyDescent="0.25">
      <c r="A76" s="2">
        <v>41340</v>
      </c>
      <c r="B76" s="4">
        <v>7</v>
      </c>
    </row>
    <row r="77" spans="1:2" x14ac:dyDescent="0.25">
      <c r="A77" s="2">
        <v>41357</v>
      </c>
      <c r="B77" s="4">
        <v>50</v>
      </c>
    </row>
    <row r="78" spans="1:2" x14ac:dyDescent="0.25">
      <c r="A78" s="2">
        <v>41374</v>
      </c>
      <c r="B78" s="4">
        <v>66</v>
      </c>
    </row>
    <row r="79" spans="1:2" x14ac:dyDescent="0.25">
      <c r="A79" s="2">
        <v>41391</v>
      </c>
      <c r="B79" s="4">
        <v>96</v>
      </c>
    </row>
    <row r="80" spans="1:2" x14ac:dyDescent="0.25">
      <c r="A80" s="2">
        <v>41408</v>
      </c>
      <c r="B80" s="4">
        <v>53</v>
      </c>
    </row>
    <row r="81" spans="1:2" x14ac:dyDescent="0.25">
      <c r="A81" s="2">
        <v>41425</v>
      </c>
      <c r="B81" s="4">
        <v>80</v>
      </c>
    </row>
    <row r="82" spans="1:2" x14ac:dyDescent="0.25">
      <c r="A82" s="2">
        <v>41442</v>
      </c>
      <c r="B82" s="4">
        <v>5</v>
      </c>
    </row>
    <row r="83" spans="1:2" x14ac:dyDescent="0.25">
      <c r="A83" s="2">
        <v>41459</v>
      </c>
      <c r="B83" s="4">
        <v>62</v>
      </c>
    </row>
    <row r="84" spans="1:2" x14ac:dyDescent="0.25">
      <c r="A84" s="2">
        <v>41476</v>
      </c>
      <c r="B84" s="4">
        <v>55</v>
      </c>
    </row>
    <row r="85" spans="1:2" x14ac:dyDescent="0.25">
      <c r="A85" s="2">
        <v>41493</v>
      </c>
      <c r="B85" s="4">
        <v>42</v>
      </c>
    </row>
    <row r="86" spans="1:2" x14ac:dyDescent="0.25">
      <c r="A86" s="2">
        <v>41510</v>
      </c>
      <c r="B86" s="4">
        <v>3</v>
      </c>
    </row>
    <row r="87" spans="1:2" x14ac:dyDescent="0.25">
      <c r="A87" s="2">
        <v>41527</v>
      </c>
      <c r="B87" s="4">
        <v>7</v>
      </c>
    </row>
    <row r="88" spans="1:2" x14ac:dyDescent="0.25">
      <c r="A88" s="2">
        <v>41544</v>
      </c>
      <c r="B88" s="4">
        <v>76</v>
      </c>
    </row>
    <row r="89" spans="1:2" x14ac:dyDescent="0.25">
      <c r="A89" s="2">
        <v>41561</v>
      </c>
      <c r="B89" s="4">
        <v>57</v>
      </c>
    </row>
    <row r="90" spans="1:2" x14ac:dyDescent="0.25">
      <c r="A90" s="2">
        <v>41578</v>
      </c>
      <c r="B90" s="4">
        <v>14</v>
      </c>
    </row>
    <row r="91" spans="1:2" x14ac:dyDescent="0.25">
      <c r="A91" s="2">
        <v>41595</v>
      </c>
      <c r="B91" s="4">
        <v>11</v>
      </c>
    </row>
    <row r="92" spans="1:2" x14ac:dyDescent="0.25">
      <c r="A92" s="2">
        <v>41612</v>
      </c>
      <c r="B92" s="4">
        <v>94</v>
      </c>
    </row>
    <row r="93" spans="1:2" x14ac:dyDescent="0.25">
      <c r="A93" s="2">
        <v>41629</v>
      </c>
      <c r="B93" s="4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workbookViewId="0">
      <selection activeCell="H20" sqref="H20"/>
    </sheetView>
  </sheetViews>
  <sheetFormatPr defaultRowHeight="15" x14ac:dyDescent="0.25"/>
  <cols>
    <col min="1" max="1" width="10.5703125" bestFit="1" customWidth="1"/>
    <col min="2" max="2" width="17.85546875" customWidth="1"/>
    <col min="9" max="9" width="10.5703125" customWidth="1"/>
    <col min="10" max="10" width="11.85546875" customWidth="1"/>
    <col min="13" max="13" width="12.85546875" customWidth="1"/>
    <col min="14" max="14" width="13.85546875" customWidth="1"/>
    <col min="15" max="15" width="12.28515625" customWidth="1"/>
  </cols>
  <sheetData>
    <row r="1" spans="1:15" ht="30" x14ac:dyDescent="0.25">
      <c r="A1" s="8" t="s">
        <v>71</v>
      </c>
      <c r="B1" s="8" t="s">
        <v>72</v>
      </c>
      <c r="C1" s="8"/>
      <c r="H1" s="8" t="s">
        <v>75</v>
      </c>
      <c r="I1" s="8" t="s">
        <v>76</v>
      </c>
      <c r="J1" s="8" t="s">
        <v>70</v>
      </c>
      <c r="K1" s="8" t="s">
        <v>96</v>
      </c>
      <c r="M1" s="17" t="s">
        <v>83</v>
      </c>
      <c r="N1" s="17" t="s">
        <v>82</v>
      </c>
      <c r="O1" s="17" t="s">
        <v>84</v>
      </c>
    </row>
    <row r="2" spans="1:15" x14ac:dyDescent="0.25">
      <c r="A2" s="33">
        <v>0</v>
      </c>
      <c r="B2" s="33">
        <v>400</v>
      </c>
      <c r="C2" s="8"/>
      <c r="H2" s="8">
        <v>1200</v>
      </c>
      <c r="I2" s="8" t="s">
        <v>77</v>
      </c>
      <c r="J2" s="8">
        <v>140</v>
      </c>
      <c r="K2" s="8">
        <v>54</v>
      </c>
      <c r="M2" t="s">
        <v>85</v>
      </c>
      <c r="N2">
        <v>100</v>
      </c>
      <c r="O2">
        <v>1990</v>
      </c>
    </row>
    <row r="3" spans="1:15" x14ac:dyDescent="0.25">
      <c r="A3" s="33">
        <v>5000</v>
      </c>
      <c r="B3" s="33">
        <v>500</v>
      </c>
      <c r="C3" s="8"/>
      <c r="H3" s="8">
        <v>1201</v>
      </c>
      <c r="I3" s="8" t="s">
        <v>78</v>
      </c>
      <c r="J3" s="8">
        <v>100</v>
      </c>
      <c r="K3" s="8">
        <v>33</v>
      </c>
      <c r="M3" t="s">
        <v>86</v>
      </c>
      <c r="N3">
        <v>200</v>
      </c>
      <c r="O3">
        <v>1987</v>
      </c>
    </row>
    <row r="4" spans="1:15" x14ac:dyDescent="0.25">
      <c r="A4" s="33">
        <v>7000</v>
      </c>
      <c r="B4" s="33">
        <v>560</v>
      </c>
      <c r="C4" s="8"/>
      <c r="H4" s="8">
        <v>1202</v>
      </c>
      <c r="I4" s="8" t="s">
        <v>79</v>
      </c>
      <c r="J4" s="8">
        <v>98</v>
      </c>
      <c r="K4" s="8">
        <v>75</v>
      </c>
      <c r="M4" t="s">
        <v>87</v>
      </c>
      <c r="N4">
        <v>300</v>
      </c>
      <c r="O4">
        <v>2005</v>
      </c>
    </row>
    <row r="5" spans="1:15" x14ac:dyDescent="0.25">
      <c r="A5" s="33">
        <v>9000</v>
      </c>
      <c r="B5" s="33">
        <v>600</v>
      </c>
      <c r="C5" s="8"/>
      <c r="H5" s="8">
        <v>1203</v>
      </c>
      <c r="I5" s="8" t="s">
        <v>80</v>
      </c>
      <c r="J5" s="8">
        <v>88</v>
      </c>
      <c r="K5" s="8">
        <v>61</v>
      </c>
      <c r="M5" t="s">
        <v>88</v>
      </c>
      <c r="N5">
        <v>400</v>
      </c>
      <c r="O5">
        <v>2000</v>
      </c>
    </row>
    <row r="6" spans="1:15" x14ac:dyDescent="0.25">
      <c r="A6" s="33">
        <v>11000</v>
      </c>
      <c r="B6" s="33">
        <v>620</v>
      </c>
      <c r="C6" s="8"/>
      <c r="M6" t="s">
        <v>89</v>
      </c>
      <c r="N6">
        <v>500</v>
      </c>
      <c r="O6">
        <v>2013</v>
      </c>
    </row>
    <row r="7" spans="1:15" x14ac:dyDescent="0.25">
      <c r="A7" s="33">
        <v>13000</v>
      </c>
      <c r="B7" s="33">
        <v>650</v>
      </c>
      <c r="C7" s="8"/>
      <c r="M7" t="s">
        <v>90</v>
      </c>
      <c r="N7">
        <v>600</v>
      </c>
      <c r="O7">
        <v>2010</v>
      </c>
    </row>
    <row r="8" spans="1:15" x14ac:dyDescent="0.25">
      <c r="A8" s="33">
        <v>15000</v>
      </c>
      <c r="B8" s="33">
        <v>680</v>
      </c>
      <c r="C8" s="8"/>
      <c r="H8" t="s">
        <v>81</v>
      </c>
      <c r="I8" t="s">
        <v>76</v>
      </c>
      <c r="J8" t="s">
        <v>97</v>
      </c>
      <c r="K8" t="s">
        <v>70</v>
      </c>
      <c r="M8" t="s">
        <v>94</v>
      </c>
      <c r="N8">
        <v>700</v>
      </c>
      <c r="O8">
        <v>1998</v>
      </c>
    </row>
    <row r="9" spans="1:15" x14ac:dyDescent="0.25">
      <c r="A9" s="33">
        <v>17000</v>
      </c>
      <c r="B9" s="33">
        <v>710</v>
      </c>
      <c r="C9" s="8"/>
      <c r="H9">
        <v>1202</v>
      </c>
      <c r="I9" s="12"/>
      <c r="J9" s="12"/>
      <c r="K9" s="12"/>
    </row>
    <row r="10" spans="1:15" x14ac:dyDescent="0.25">
      <c r="A10" s="33">
        <v>19000</v>
      </c>
      <c r="B10" s="33">
        <v>760</v>
      </c>
      <c r="C10" s="8"/>
      <c r="H10">
        <v>1200</v>
      </c>
      <c r="I10" s="12"/>
      <c r="J10" s="12"/>
      <c r="K10" s="12"/>
    </row>
    <row r="11" spans="1:15" x14ac:dyDescent="0.25">
      <c r="A11" s="33">
        <v>21000</v>
      </c>
      <c r="B11" s="33">
        <v>800</v>
      </c>
      <c r="C11" s="8"/>
      <c r="H11">
        <v>1206</v>
      </c>
      <c r="I11" s="12"/>
      <c r="J11" s="12"/>
      <c r="K11" s="12"/>
    </row>
    <row r="12" spans="1:15" x14ac:dyDescent="0.25">
      <c r="A12" s="33">
        <v>23000</v>
      </c>
      <c r="B12" s="33">
        <v>880</v>
      </c>
      <c r="C12" s="8"/>
    </row>
    <row r="13" spans="1:15" ht="17.25" customHeight="1" x14ac:dyDescent="0.25">
      <c r="A13" s="33">
        <v>25000</v>
      </c>
      <c r="B13" s="33">
        <v>1000</v>
      </c>
      <c r="C13" s="8"/>
      <c r="M13" s="17" t="s">
        <v>91</v>
      </c>
      <c r="N13" s="17" t="s">
        <v>84</v>
      </c>
      <c r="O13" s="17" t="s">
        <v>92</v>
      </c>
    </row>
    <row r="14" spans="1:15" x14ac:dyDescent="0.25">
      <c r="M14" t="s">
        <v>88</v>
      </c>
      <c r="N14" s="12"/>
      <c r="O14" s="12"/>
    </row>
    <row r="15" spans="1:15" x14ac:dyDescent="0.25">
      <c r="M15" t="s">
        <v>90</v>
      </c>
      <c r="N15" s="12"/>
      <c r="O15" s="12"/>
    </row>
    <row r="17" spans="1:2" x14ac:dyDescent="0.25">
      <c r="A17" t="s">
        <v>73</v>
      </c>
      <c r="B17" t="s">
        <v>74</v>
      </c>
    </row>
    <row r="18" spans="1:2" x14ac:dyDescent="0.25">
      <c r="A18" s="32">
        <v>4000</v>
      </c>
      <c r="B18" s="12"/>
    </row>
    <row r="19" spans="1:2" x14ac:dyDescent="0.25">
      <c r="A19" s="32">
        <v>8000</v>
      </c>
      <c r="B19" s="12"/>
    </row>
    <row r="20" spans="1:2" x14ac:dyDescent="0.25">
      <c r="A20" s="32">
        <v>10000</v>
      </c>
      <c r="B20" s="12"/>
    </row>
    <row r="21" spans="1:2" x14ac:dyDescent="0.25">
      <c r="A21" s="32">
        <v>13000</v>
      </c>
      <c r="B21" s="12"/>
    </row>
    <row r="22" spans="1:2" x14ac:dyDescent="0.25">
      <c r="A22" s="32">
        <v>5200</v>
      </c>
      <c r="B2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activeCell="D6" sqref="D6"/>
    </sheetView>
  </sheetViews>
  <sheetFormatPr defaultRowHeight="15" x14ac:dyDescent="0.25"/>
  <sheetData>
    <row r="1" spans="1:3" x14ac:dyDescent="0.25">
      <c r="A1" t="s">
        <v>68</v>
      </c>
      <c r="B1" t="s">
        <v>66</v>
      </c>
      <c r="C1" t="s">
        <v>67</v>
      </c>
    </row>
    <row r="2" spans="1:3" x14ac:dyDescent="0.25">
      <c r="A2">
        <v>1</v>
      </c>
      <c r="B2" s="16">
        <v>0.05</v>
      </c>
      <c r="C2">
        <v>68</v>
      </c>
    </row>
    <row r="3" spans="1:3" x14ac:dyDescent="0.25">
      <c r="A3">
        <v>2</v>
      </c>
      <c r="B3" s="16">
        <v>0.1</v>
      </c>
      <c r="C3">
        <v>73</v>
      </c>
    </row>
    <row r="4" spans="1:3" x14ac:dyDescent="0.25">
      <c r="A4">
        <v>3</v>
      </c>
      <c r="B4" s="16">
        <v>0.2</v>
      </c>
      <c r="C4">
        <v>81</v>
      </c>
    </row>
    <row r="5" spans="1:3" x14ac:dyDescent="0.25">
      <c r="A5">
        <v>4</v>
      </c>
      <c r="B5" s="16">
        <v>0.3</v>
      </c>
      <c r="C5">
        <v>59</v>
      </c>
    </row>
    <row r="6" spans="1:3" x14ac:dyDescent="0.25">
      <c r="A6">
        <v>5</v>
      </c>
      <c r="B6" s="16">
        <v>0.35</v>
      </c>
      <c r="C6" s="12"/>
    </row>
    <row r="8" spans="1:3" x14ac:dyDescent="0.25">
      <c r="B8" s="16" t="s">
        <v>36</v>
      </c>
    </row>
    <row r="10" spans="1:3" x14ac:dyDescent="0.25">
      <c r="B10" s="16" t="s">
        <v>36</v>
      </c>
    </row>
    <row r="11" spans="1:3" x14ac:dyDescent="0.25">
      <c r="B11">
        <v>0</v>
      </c>
      <c r="C11" t="s">
        <v>98</v>
      </c>
    </row>
    <row r="12" spans="1:3" x14ac:dyDescent="0.25">
      <c r="B12">
        <v>58</v>
      </c>
      <c r="C12" t="s">
        <v>54</v>
      </c>
    </row>
    <row r="13" spans="1:3" x14ac:dyDescent="0.25">
      <c r="B13">
        <v>64</v>
      </c>
      <c r="C13" t="s">
        <v>55</v>
      </c>
    </row>
    <row r="14" spans="1:3" x14ac:dyDescent="0.25">
      <c r="B14">
        <v>67</v>
      </c>
      <c r="C14" t="s">
        <v>56</v>
      </c>
    </row>
    <row r="15" spans="1:3" x14ac:dyDescent="0.25">
      <c r="B15">
        <v>70</v>
      </c>
      <c r="C15" t="s">
        <v>57</v>
      </c>
    </row>
    <row r="16" spans="1:3" x14ac:dyDescent="0.25">
      <c r="B16">
        <v>74</v>
      </c>
      <c r="C16" t="s">
        <v>58</v>
      </c>
    </row>
    <row r="17" spans="2:3" x14ac:dyDescent="0.25">
      <c r="B17">
        <v>77</v>
      </c>
      <c r="C17" t="s">
        <v>59</v>
      </c>
    </row>
    <row r="18" spans="2:3" x14ac:dyDescent="0.25">
      <c r="B18">
        <v>80</v>
      </c>
      <c r="C18" t="s">
        <v>60</v>
      </c>
    </row>
    <row r="19" spans="2:3" x14ac:dyDescent="0.25">
      <c r="B19">
        <v>84</v>
      </c>
      <c r="C19" t="s">
        <v>61</v>
      </c>
    </row>
    <row r="20" spans="2:3" x14ac:dyDescent="0.25">
      <c r="B20">
        <v>87</v>
      </c>
      <c r="C20" t="s">
        <v>62</v>
      </c>
    </row>
    <row r="21" spans="2:3" x14ac:dyDescent="0.25">
      <c r="B21">
        <v>90</v>
      </c>
      <c r="C21" t="s">
        <v>63</v>
      </c>
    </row>
    <row r="22" spans="2:3" x14ac:dyDescent="0.25">
      <c r="B22">
        <v>94</v>
      </c>
      <c r="C22" t="s">
        <v>64</v>
      </c>
    </row>
    <row r="23" spans="2:3" x14ac:dyDescent="0.25">
      <c r="B23">
        <v>97</v>
      </c>
      <c r="C23" t="s">
        <v>65</v>
      </c>
    </row>
  </sheetData>
  <sortState ref="B12:C23">
    <sortCondition ref="B1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workbookViewId="0">
      <selection sqref="A1:XFD1048576"/>
    </sheetView>
  </sheetViews>
  <sheetFormatPr defaultRowHeight="15" x14ac:dyDescent="0.25"/>
  <cols>
    <col min="12" max="12" width="10.5703125" customWidth="1"/>
    <col min="13" max="13" width="13.85546875" customWidth="1"/>
    <col min="14" max="14" width="12.28515625" customWidth="1"/>
  </cols>
  <sheetData>
    <row r="1" spans="1:14" ht="45" x14ac:dyDescent="0.25">
      <c r="A1" t="s">
        <v>71</v>
      </c>
      <c r="B1" t="s">
        <v>72</v>
      </c>
      <c r="H1" t="s">
        <v>75</v>
      </c>
      <c r="I1" t="s">
        <v>76</v>
      </c>
      <c r="L1" s="17" t="s">
        <v>83</v>
      </c>
      <c r="M1" s="17" t="s">
        <v>82</v>
      </c>
      <c r="N1" s="17" t="s">
        <v>84</v>
      </c>
    </row>
    <row r="2" spans="1:14" x14ac:dyDescent="0.25">
      <c r="A2">
        <v>0</v>
      </c>
      <c r="B2">
        <v>400</v>
      </c>
      <c r="H2">
        <v>1200</v>
      </c>
      <c r="I2" t="s">
        <v>77</v>
      </c>
      <c r="L2" t="s">
        <v>85</v>
      </c>
      <c r="M2">
        <v>100</v>
      </c>
      <c r="N2">
        <v>1990</v>
      </c>
    </row>
    <row r="3" spans="1:14" x14ac:dyDescent="0.25">
      <c r="A3">
        <v>5000</v>
      </c>
      <c r="B3">
        <v>500</v>
      </c>
      <c r="H3">
        <v>1201</v>
      </c>
      <c r="I3" t="s">
        <v>78</v>
      </c>
      <c r="L3" t="s">
        <v>86</v>
      </c>
      <c r="M3">
        <v>200</v>
      </c>
      <c r="N3">
        <v>1987</v>
      </c>
    </row>
    <row r="4" spans="1:14" x14ac:dyDescent="0.25">
      <c r="A4">
        <v>7000</v>
      </c>
      <c r="B4">
        <v>560</v>
      </c>
      <c r="H4">
        <v>1202</v>
      </c>
      <c r="I4" t="s">
        <v>79</v>
      </c>
      <c r="L4" t="s">
        <v>87</v>
      </c>
      <c r="M4">
        <v>300</v>
      </c>
      <c r="N4">
        <v>2005</v>
      </c>
    </row>
    <row r="5" spans="1:14" x14ac:dyDescent="0.25">
      <c r="A5">
        <v>9000</v>
      </c>
      <c r="B5">
        <v>600</v>
      </c>
      <c r="H5">
        <v>1203</v>
      </c>
      <c r="I5" t="s">
        <v>80</v>
      </c>
      <c r="L5" t="s">
        <v>88</v>
      </c>
      <c r="M5">
        <v>400</v>
      </c>
      <c r="N5">
        <v>2000</v>
      </c>
    </row>
    <row r="6" spans="1:14" x14ac:dyDescent="0.25">
      <c r="A6">
        <v>11000</v>
      </c>
      <c r="B6">
        <v>620</v>
      </c>
      <c r="L6" t="s">
        <v>89</v>
      </c>
      <c r="M6">
        <v>500</v>
      </c>
      <c r="N6">
        <v>2013</v>
      </c>
    </row>
    <row r="7" spans="1:14" x14ac:dyDescent="0.25">
      <c r="A7">
        <v>13000</v>
      </c>
      <c r="B7">
        <v>650</v>
      </c>
      <c r="L7" t="s">
        <v>90</v>
      </c>
      <c r="M7">
        <v>600</v>
      </c>
      <c r="N7">
        <v>2010</v>
      </c>
    </row>
    <row r="8" spans="1:14" x14ac:dyDescent="0.25">
      <c r="A8">
        <v>15000</v>
      </c>
      <c r="B8">
        <v>680</v>
      </c>
      <c r="H8" t="s">
        <v>81</v>
      </c>
      <c r="I8" t="s">
        <v>76</v>
      </c>
      <c r="M8">
        <v>700</v>
      </c>
      <c r="N8">
        <v>1998</v>
      </c>
    </row>
    <row r="9" spans="1:14" x14ac:dyDescent="0.25">
      <c r="A9">
        <v>17000</v>
      </c>
      <c r="B9">
        <v>710</v>
      </c>
      <c r="H9">
        <v>1202</v>
      </c>
      <c r="I9" t="str">
        <f>VLOOKUP(H9,$H$2:$I$5,2)</f>
        <v>blower</v>
      </c>
    </row>
    <row r="10" spans="1:14" x14ac:dyDescent="0.25">
      <c r="A10">
        <v>19000</v>
      </c>
      <c r="B10">
        <v>760</v>
      </c>
    </row>
    <row r="11" spans="1:14" x14ac:dyDescent="0.25">
      <c r="A11">
        <v>21000</v>
      </c>
      <c r="B11">
        <v>800</v>
      </c>
    </row>
    <row r="12" spans="1:14" x14ac:dyDescent="0.25">
      <c r="A12">
        <v>23000</v>
      </c>
      <c r="B12">
        <v>880</v>
      </c>
    </row>
    <row r="13" spans="1:14" ht="45" x14ac:dyDescent="0.25">
      <c r="A13">
        <v>25000</v>
      </c>
      <c r="B13">
        <v>1000</v>
      </c>
      <c r="L13" s="17" t="s">
        <v>91</v>
      </c>
      <c r="M13" s="17" t="s">
        <v>84</v>
      </c>
      <c r="N13" s="17" t="s">
        <v>92</v>
      </c>
    </row>
    <row r="14" spans="1:14" x14ac:dyDescent="0.25">
      <c r="L14" t="s">
        <v>88</v>
      </c>
      <c r="M14">
        <f>VLOOKUP(L14,$L$2:$N$8,3)</f>
        <v>2000</v>
      </c>
      <c r="N14">
        <f>VLOOKUP(L14,$L$2:$N$8,2)</f>
        <v>400</v>
      </c>
    </row>
    <row r="15" spans="1:14" x14ac:dyDescent="0.25">
      <c r="L15" t="s">
        <v>90</v>
      </c>
      <c r="M15">
        <f>VLOOKUP(L15,$L$2:$N$8,3)</f>
        <v>2010</v>
      </c>
      <c r="N15">
        <f>VLOOKUP(L15,$L$2:$N$8,2)</f>
        <v>600</v>
      </c>
    </row>
    <row r="17" spans="1:2" x14ac:dyDescent="0.25">
      <c r="A17" t="s">
        <v>73</v>
      </c>
      <c r="B17" t="s">
        <v>74</v>
      </c>
    </row>
    <row r="18" spans="1:2" x14ac:dyDescent="0.25">
      <c r="A18">
        <v>4000</v>
      </c>
      <c r="B18">
        <f>VLOOKUP(A18,$A$2:$B$13,2)</f>
        <v>400</v>
      </c>
    </row>
    <row r="19" spans="1:2" x14ac:dyDescent="0.25">
      <c r="A19">
        <v>8000</v>
      </c>
      <c r="B19">
        <f t="shared" ref="B19:B21" si="0">VLOOKUP(A19,$A$3:$B$13,2)</f>
        <v>560</v>
      </c>
    </row>
    <row r="20" spans="1:2" x14ac:dyDescent="0.25">
      <c r="A20">
        <v>10000</v>
      </c>
      <c r="B20">
        <f t="shared" si="0"/>
        <v>600</v>
      </c>
    </row>
    <row r="21" spans="1:2" x14ac:dyDescent="0.25">
      <c r="A21">
        <v>13000</v>
      </c>
      <c r="B21">
        <f t="shared" si="0"/>
        <v>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activeCell="D2" sqref="D2"/>
    </sheetView>
  </sheetViews>
  <sheetFormatPr defaultRowHeight="15" x14ac:dyDescent="0.25"/>
  <cols>
    <col min="1" max="1" width="15.140625" customWidth="1"/>
    <col min="2" max="2" width="9.5703125" bestFit="1" customWidth="1"/>
  </cols>
  <sheetData>
    <row r="1" spans="1:2" x14ac:dyDescent="0.25">
      <c r="A1" t="s">
        <v>179</v>
      </c>
      <c r="B1">
        <v>20</v>
      </c>
    </row>
    <row r="2" spans="1:2" x14ac:dyDescent="0.25">
      <c r="A2" t="s">
        <v>180</v>
      </c>
      <c r="B2">
        <v>100</v>
      </c>
    </row>
    <row r="4" spans="1:2" x14ac:dyDescent="0.25">
      <c r="A4" t="s">
        <v>69</v>
      </c>
      <c r="B4" s="18">
        <f>B1*B2</f>
        <v>2000</v>
      </c>
    </row>
    <row r="11" spans="1:2" x14ac:dyDescent="0.25">
      <c r="A11" s="3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"/>
  <sheetViews>
    <sheetView workbookViewId="0">
      <selection activeCell="Q11" sqref="Q11"/>
    </sheetView>
  </sheetViews>
  <sheetFormatPr defaultRowHeight="15" x14ac:dyDescent="0.25"/>
  <cols>
    <col min="1" max="1" width="14.85546875" customWidth="1"/>
    <col min="2" max="2" width="14" customWidth="1"/>
    <col min="15" max="15" width="15.5703125" customWidth="1"/>
  </cols>
  <sheetData>
    <row r="1" spans="1:15" ht="30" x14ac:dyDescent="0.25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O1" s="12" t="s">
        <v>47</v>
      </c>
    </row>
    <row r="2" spans="1:15" ht="30" x14ac:dyDescent="0.25">
      <c r="A2" s="10" t="s">
        <v>42</v>
      </c>
      <c r="B2" s="11">
        <v>3767341</v>
      </c>
      <c r="C2" s="11">
        <v>3298694</v>
      </c>
      <c r="D2" s="11">
        <v>2448772</v>
      </c>
      <c r="E2" s="11">
        <v>1814281</v>
      </c>
    </row>
    <row r="3" spans="1:15" ht="30" x14ac:dyDescent="0.25">
      <c r="A3" s="10" t="s">
        <v>43</v>
      </c>
      <c r="B3" s="11">
        <v>2857163</v>
      </c>
      <c r="C3" s="11">
        <v>3607148</v>
      </c>
      <c r="D3" s="11">
        <v>1857156</v>
      </c>
      <c r="E3" s="11">
        <v>1983931</v>
      </c>
    </row>
    <row r="4" spans="1:15" x14ac:dyDescent="0.25">
      <c r="A4" s="10" t="s">
        <v>44</v>
      </c>
      <c r="B4" s="11">
        <v>3677108</v>
      </c>
      <c r="C4" s="11">
        <v>3205014</v>
      </c>
      <c r="D4" s="11">
        <v>2390120</v>
      </c>
      <c r="E4" s="11">
        <v>1762757</v>
      </c>
    </row>
    <row r="5" spans="1:15" ht="30" x14ac:dyDescent="0.25">
      <c r="A5" s="10" t="s">
        <v>45</v>
      </c>
      <c r="B5" s="11">
        <v>4351296</v>
      </c>
      <c r="C5" s="11">
        <v>3366575</v>
      </c>
      <c r="D5" s="11">
        <v>2828342</v>
      </c>
      <c r="E5" s="11">
        <v>1851616</v>
      </c>
    </row>
    <row r="6" spans="1:15" ht="30" x14ac:dyDescent="0.25">
      <c r="A6" s="10" t="s">
        <v>46</v>
      </c>
      <c r="B6" s="11">
        <v>2851419</v>
      </c>
      <c r="C6" s="11">
        <v>3925071</v>
      </c>
      <c r="D6" s="11">
        <v>1853422</v>
      </c>
      <c r="E6" s="11">
        <v>2158789</v>
      </c>
    </row>
    <row r="20" spans="15:15" x14ac:dyDescent="0.25">
      <c r="O20" s="12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9"/>
  <sheetViews>
    <sheetView tabSelected="1" workbookViewId="0">
      <selection activeCell="H39" sqref="H39"/>
    </sheetView>
  </sheetViews>
  <sheetFormatPr defaultRowHeight="15" x14ac:dyDescent="0.25"/>
  <cols>
    <col min="2" max="2" width="36.140625" customWidth="1"/>
    <col min="3" max="3" width="20.85546875" customWidth="1"/>
    <col min="4" max="4" width="12.7109375" customWidth="1"/>
    <col min="8" max="8" width="17.28515625" customWidth="1"/>
    <col min="9" max="11" width="22.85546875" customWidth="1"/>
  </cols>
  <sheetData>
    <row r="1" spans="1:11" ht="26.25" x14ac:dyDescent="0.55000000000000004">
      <c r="A1" s="19" t="s">
        <v>99</v>
      </c>
      <c r="B1" s="20"/>
      <c r="C1" s="20"/>
      <c r="D1" s="20"/>
      <c r="E1" s="21"/>
      <c r="H1" s="8" t="s">
        <v>100</v>
      </c>
      <c r="I1" s="22">
        <v>32</v>
      </c>
      <c r="J1" s="22">
        <v>21</v>
      </c>
      <c r="K1" s="22">
        <v>58</v>
      </c>
    </row>
    <row r="2" spans="1:11" ht="15.75" thickBot="1" x14ac:dyDescent="0.3">
      <c r="A2" s="23" t="s">
        <v>101</v>
      </c>
      <c r="B2" s="23" t="s">
        <v>102</v>
      </c>
      <c r="C2" s="23" t="s">
        <v>103</v>
      </c>
      <c r="D2" s="23" t="s">
        <v>104</v>
      </c>
      <c r="E2" s="23" t="s">
        <v>105</v>
      </c>
    </row>
    <row r="3" spans="1:11" ht="15.75" thickTop="1" x14ac:dyDescent="0.25">
      <c r="A3" s="24">
        <v>1</v>
      </c>
      <c r="B3" s="25" t="s">
        <v>106</v>
      </c>
      <c r="C3" s="24">
        <v>39</v>
      </c>
      <c r="D3" s="26">
        <v>18</v>
      </c>
      <c r="E3" s="24">
        <v>0</v>
      </c>
      <c r="H3" s="8" t="s">
        <v>102</v>
      </c>
      <c r="I3" s="27"/>
      <c r="J3" s="27"/>
      <c r="K3" s="27"/>
    </row>
    <row r="4" spans="1:11" x14ac:dyDescent="0.25">
      <c r="A4" s="24">
        <v>2</v>
      </c>
      <c r="B4" s="25" t="s">
        <v>107</v>
      </c>
      <c r="C4" s="24">
        <v>17</v>
      </c>
      <c r="D4" s="26">
        <v>19</v>
      </c>
      <c r="E4" s="24">
        <v>40</v>
      </c>
      <c r="H4" s="8" t="s">
        <v>108</v>
      </c>
      <c r="I4" s="27"/>
      <c r="J4" s="27"/>
      <c r="K4" s="27"/>
    </row>
    <row r="5" spans="1:11" x14ac:dyDescent="0.25">
      <c r="A5" s="28">
        <v>3</v>
      </c>
      <c r="B5" s="29" t="s">
        <v>109</v>
      </c>
      <c r="C5" s="28">
        <v>13</v>
      </c>
      <c r="D5" s="30">
        <v>10</v>
      </c>
      <c r="E5" s="28">
        <v>70</v>
      </c>
      <c r="H5" s="8" t="s">
        <v>110</v>
      </c>
      <c r="I5" s="27"/>
      <c r="J5" s="27"/>
      <c r="K5" s="27"/>
    </row>
    <row r="6" spans="1:11" x14ac:dyDescent="0.25">
      <c r="A6" s="24">
        <v>9</v>
      </c>
      <c r="B6" s="25" t="s">
        <v>111</v>
      </c>
      <c r="C6" s="24">
        <v>29</v>
      </c>
      <c r="D6" s="26">
        <v>97</v>
      </c>
      <c r="E6" s="24">
        <v>0</v>
      </c>
      <c r="H6" s="8" t="s">
        <v>112</v>
      </c>
      <c r="I6" s="27"/>
      <c r="J6" s="27"/>
      <c r="K6" s="27"/>
    </row>
    <row r="7" spans="1:11" x14ac:dyDescent="0.25">
      <c r="A7" s="24">
        <v>10</v>
      </c>
      <c r="B7" s="25" t="s">
        <v>113</v>
      </c>
      <c r="C7" s="24">
        <v>31</v>
      </c>
      <c r="D7" s="26">
        <v>31</v>
      </c>
      <c r="E7" s="24">
        <v>0</v>
      </c>
      <c r="H7" s="8" t="s">
        <v>114</v>
      </c>
      <c r="I7" s="31"/>
      <c r="J7" s="31"/>
      <c r="K7" s="31"/>
    </row>
    <row r="8" spans="1:11" x14ac:dyDescent="0.25">
      <c r="A8" s="24">
        <v>11</v>
      </c>
      <c r="B8" s="25" t="s">
        <v>115</v>
      </c>
      <c r="C8" s="24">
        <v>22</v>
      </c>
      <c r="D8" s="26">
        <v>21</v>
      </c>
      <c r="E8" s="24">
        <v>30</v>
      </c>
      <c r="H8" s="8" t="s">
        <v>116</v>
      </c>
      <c r="I8" s="31"/>
      <c r="J8" s="31"/>
      <c r="K8" s="31"/>
    </row>
    <row r="9" spans="1:11" x14ac:dyDescent="0.25">
      <c r="A9" s="24">
        <v>13</v>
      </c>
      <c r="B9" s="25" t="s">
        <v>117</v>
      </c>
      <c r="C9" s="24">
        <v>24</v>
      </c>
      <c r="D9" s="26">
        <v>6</v>
      </c>
      <c r="E9" s="24">
        <v>0</v>
      </c>
    </row>
    <row r="10" spans="1:11" x14ac:dyDescent="0.25">
      <c r="A10" s="24">
        <v>14</v>
      </c>
      <c r="B10" s="25" t="s">
        <v>118</v>
      </c>
      <c r="C10" s="24">
        <v>35</v>
      </c>
      <c r="D10" s="26">
        <v>23.25</v>
      </c>
      <c r="E10" s="24">
        <v>0</v>
      </c>
    </row>
    <row r="11" spans="1:11" x14ac:dyDescent="0.25">
      <c r="A11" s="24">
        <v>15</v>
      </c>
      <c r="B11" s="25" t="s">
        <v>119</v>
      </c>
      <c r="C11" s="24">
        <v>39</v>
      </c>
      <c r="D11" s="26">
        <v>15.5</v>
      </c>
      <c r="E11" s="24">
        <v>0</v>
      </c>
    </row>
    <row r="12" spans="1:11" x14ac:dyDescent="0.25">
      <c r="A12" s="24">
        <v>16</v>
      </c>
      <c r="B12" s="25" t="s">
        <v>120</v>
      </c>
      <c r="C12" s="24">
        <v>29</v>
      </c>
      <c r="D12" s="26">
        <v>17.45</v>
      </c>
      <c r="E12" s="24">
        <v>0</v>
      </c>
    </row>
    <row r="13" spans="1:11" x14ac:dyDescent="0.25">
      <c r="A13" s="24">
        <v>17</v>
      </c>
      <c r="B13" s="25" t="s">
        <v>121</v>
      </c>
      <c r="C13" s="24">
        <v>0</v>
      </c>
      <c r="D13" s="26">
        <v>39</v>
      </c>
      <c r="E13" s="24">
        <v>0</v>
      </c>
    </row>
    <row r="14" spans="1:11" x14ac:dyDescent="0.25">
      <c r="A14" s="24">
        <v>18</v>
      </c>
      <c r="B14" s="25" t="s">
        <v>122</v>
      </c>
      <c r="C14" s="24">
        <v>42</v>
      </c>
      <c r="D14" s="26">
        <v>62.5</v>
      </c>
      <c r="E14" s="24">
        <v>0</v>
      </c>
    </row>
    <row r="15" spans="1:11" x14ac:dyDescent="0.25">
      <c r="A15" s="24">
        <v>21</v>
      </c>
      <c r="B15" s="25" t="s">
        <v>123</v>
      </c>
      <c r="C15" s="24">
        <v>3</v>
      </c>
      <c r="D15" s="26">
        <v>10</v>
      </c>
      <c r="E15" s="24">
        <v>40</v>
      </c>
    </row>
    <row r="16" spans="1:11" x14ac:dyDescent="0.25">
      <c r="A16" s="24">
        <v>22</v>
      </c>
      <c r="B16" s="25" t="s">
        <v>124</v>
      </c>
      <c r="C16" s="24">
        <v>104</v>
      </c>
      <c r="D16" s="26">
        <v>21</v>
      </c>
      <c r="E16" s="24">
        <v>0</v>
      </c>
    </row>
    <row r="17" spans="1:5" x14ac:dyDescent="0.25">
      <c r="A17" s="24">
        <v>23</v>
      </c>
      <c r="B17" s="25" t="s">
        <v>125</v>
      </c>
      <c r="C17" s="24">
        <v>61</v>
      </c>
      <c r="D17" s="26">
        <v>9</v>
      </c>
      <c r="E17" s="24">
        <v>0</v>
      </c>
    </row>
    <row r="18" spans="1:5" x14ac:dyDescent="0.25">
      <c r="A18" s="24">
        <v>24</v>
      </c>
      <c r="B18" s="25" t="s">
        <v>126</v>
      </c>
      <c r="C18" s="24">
        <v>20</v>
      </c>
      <c r="D18" s="26">
        <v>4.5</v>
      </c>
      <c r="E18" s="24">
        <v>0</v>
      </c>
    </row>
    <row r="19" spans="1:5" x14ac:dyDescent="0.25">
      <c r="A19" s="24">
        <v>27</v>
      </c>
      <c r="B19" s="25" t="s">
        <v>127</v>
      </c>
      <c r="C19" s="24">
        <v>49</v>
      </c>
      <c r="D19" s="26">
        <v>43.9</v>
      </c>
      <c r="E19" s="24">
        <v>0</v>
      </c>
    </row>
    <row r="20" spans="1:5" x14ac:dyDescent="0.25">
      <c r="A20" s="24">
        <v>28</v>
      </c>
      <c r="B20" s="25" t="s">
        <v>128</v>
      </c>
      <c r="C20" s="24">
        <v>26</v>
      </c>
      <c r="D20" s="26">
        <v>45.6</v>
      </c>
      <c r="E20" s="24">
        <v>0</v>
      </c>
    </row>
    <row r="21" spans="1:5" x14ac:dyDescent="0.25">
      <c r="A21" s="24">
        <v>29</v>
      </c>
      <c r="B21" s="25" t="s">
        <v>129</v>
      </c>
      <c r="C21" s="24">
        <v>0</v>
      </c>
      <c r="D21" s="26">
        <v>123.79</v>
      </c>
      <c r="E21" s="24">
        <v>0</v>
      </c>
    </row>
    <row r="22" spans="1:5" x14ac:dyDescent="0.25">
      <c r="A22" s="24">
        <v>30</v>
      </c>
      <c r="B22" s="25" t="s">
        <v>130</v>
      </c>
      <c r="C22" s="24">
        <v>10</v>
      </c>
      <c r="D22" s="26">
        <v>25.89</v>
      </c>
      <c r="E22" s="24">
        <v>0</v>
      </c>
    </row>
    <row r="23" spans="1:5" x14ac:dyDescent="0.25">
      <c r="A23" s="24">
        <v>31</v>
      </c>
      <c r="B23" s="25" t="s">
        <v>131</v>
      </c>
      <c r="C23" s="24">
        <v>0</v>
      </c>
      <c r="D23" s="26">
        <v>12.5</v>
      </c>
      <c r="E23" s="24">
        <v>70</v>
      </c>
    </row>
    <row r="24" spans="1:5" x14ac:dyDescent="0.25">
      <c r="A24" s="24">
        <v>32</v>
      </c>
      <c r="B24" s="25" t="s">
        <v>132</v>
      </c>
      <c r="C24" s="24">
        <v>9</v>
      </c>
      <c r="D24" s="26">
        <v>32</v>
      </c>
      <c r="E24" s="24">
        <v>40</v>
      </c>
    </row>
    <row r="25" spans="1:5" x14ac:dyDescent="0.25">
      <c r="A25" s="24">
        <v>33</v>
      </c>
      <c r="B25" s="25" t="s">
        <v>133</v>
      </c>
      <c r="C25" s="24">
        <v>112</v>
      </c>
      <c r="D25" s="26">
        <v>2.5</v>
      </c>
      <c r="E25" s="24">
        <v>0</v>
      </c>
    </row>
    <row r="26" spans="1:5" x14ac:dyDescent="0.25">
      <c r="A26" s="24">
        <v>34</v>
      </c>
      <c r="B26" s="25" t="s">
        <v>134</v>
      </c>
      <c r="C26" s="24">
        <v>111</v>
      </c>
      <c r="D26" s="26">
        <v>14</v>
      </c>
      <c r="E26" s="24">
        <v>0</v>
      </c>
    </row>
    <row r="27" spans="1:5" x14ac:dyDescent="0.25">
      <c r="A27" s="24">
        <v>35</v>
      </c>
      <c r="B27" s="25" t="s">
        <v>135</v>
      </c>
      <c r="C27" s="24">
        <v>20</v>
      </c>
      <c r="D27" s="26">
        <v>18</v>
      </c>
      <c r="E27" s="24">
        <v>0</v>
      </c>
    </row>
    <row r="28" spans="1:5" x14ac:dyDescent="0.25">
      <c r="A28" s="24">
        <v>36</v>
      </c>
      <c r="B28" s="25" t="s">
        <v>136</v>
      </c>
      <c r="C28" s="24">
        <v>112</v>
      </c>
      <c r="D28" s="26">
        <v>19</v>
      </c>
      <c r="E28" s="24">
        <v>0</v>
      </c>
    </row>
    <row r="29" spans="1:5" x14ac:dyDescent="0.25">
      <c r="A29" s="24">
        <v>37</v>
      </c>
      <c r="B29" s="25" t="s">
        <v>137</v>
      </c>
      <c r="C29" s="24">
        <v>11</v>
      </c>
      <c r="D29" s="26">
        <v>26</v>
      </c>
      <c r="E29" s="24">
        <v>50</v>
      </c>
    </row>
    <row r="30" spans="1:5" x14ac:dyDescent="0.25">
      <c r="A30" s="24">
        <v>38</v>
      </c>
      <c r="B30" s="25" t="s">
        <v>138</v>
      </c>
      <c r="C30" s="24">
        <v>17</v>
      </c>
      <c r="D30" s="26">
        <v>263.5</v>
      </c>
      <c r="E30" s="24">
        <v>0</v>
      </c>
    </row>
    <row r="31" spans="1:5" x14ac:dyDescent="0.25">
      <c r="A31" s="24">
        <v>39</v>
      </c>
      <c r="B31" s="25" t="s">
        <v>139</v>
      </c>
      <c r="C31" s="24">
        <v>69</v>
      </c>
      <c r="D31" s="26">
        <v>18</v>
      </c>
      <c r="E31" s="24">
        <v>0</v>
      </c>
    </row>
    <row r="32" spans="1:5" x14ac:dyDescent="0.25">
      <c r="A32" s="24">
        <v>40</v>
      </c>
      <c r="B32" s="25" t="s">
        <v>140</v>
      </c>
      <c r="C32" s="24">
        <v>123</v>
      </c>
      <c r="D32" s="26">
        <v>18.399999999999999</v>
      </c>
      <c r="E32" s="24">
        <v>0</v>
      </c>
    </row>
    <row r="33" spans="1:5" x14ac:dyDescent="0.25">
      <c r="A33" s="24">
        <v>41</v>
      </c>
      <c r="B33" s="25" t="s">
        <v>141</v>
      </c>
      <c r="C33" s="24">
        <v>85</v>
      </c>
      <c r="D33" s="26">
        <v>9.65</v>
      </c>
      <c r="E33" s="24">
        <v>0</v>
      </c>
    </row>
    <row r="34" spans="1:5" x14ac:dyDescent="0.25">
      <c r="A34" s="24">
        <v>42</v>
      </c>
      <c r="B34" s="25" t="s">
        <v>142</v>
      </c>
      <c r="C34" s="24">
        <v>26</v>
      </c>
      <c r="D34" s="26">
        <v>14</v>
      </c>
      <c r="E34" s="24">
        <v>0</v>
      </c>
    </row>
    <row r="35" spans="1:5" x14ac:dyDescent="0.25">
      <c r="A35" s="24">
        <v>43</v>
      </c>
      <c r="B35" s="25" t="s">
        <v>143</v>
      </c>
      <c r="C35" s="24">
        <v>17</v>
      </c>
      <c r="D35" s="26">
        <v>46</v>
      </c>
      <c r="E35" s="24">
        <v>10</v>
      </c>
    </row>
    <row r="36" spans="1:5" x14ac:dyDescent="0.25">
      <c r="A36" s="24">
        <v>44</v>
      </c>
      <c r="B36" s="25" t="s">
        <v>144</v>
      </c>
      <c r="C36" s="24">
        <v>27</v>
      </c>
      <c r="D36" s="26">
        <v>19.45</v>
      </c>
      <c r="E36" s="24">
        <v>0</v>
      </c>
    </row>
    <row r="37" spans="1:5" x14ac:dyDescent="0.25">
      <c r="A37" s="24">
        <v>45</v>
      </c>
      <c r="B37" s="25" t="s">
        <v>145</v>
      </c>
      <c r="C37" s="24">
        <v>5</v>
      </c>
      <c r="D37" s="26">
        <v>9.5</v>
      </c>
      <c r="E37" s="24">
        <v>70</v>
      </c>
    </row>
    <row r="38" spans="1:5" x14ac:dyDescent="0.25">
      <c r="A38" s="24">
        <v>46</v>
      </c>
      <c r="B38" s="25" t="s">
        <v>146</v>
      </c>
      <c r="C38" s="24">
        <v>95</v>
      </c>
      <c r="D38" s="26">
        <v>12</v>
      </c>
      <c r="E38" s="24">
        <v>0</v>
      </c>
    </row>
    <row r="39" spans="1:5" x14ac:dyDescent="0.25">
      <c r="A39" s="24">
        <v>47</v>
      </c>
      <c r="B39" s="25" t="s">
        <v>147</v>
      </c>
      <c r="C39" s="24">
        <v>36</v>
      </c>
      <c r="D39" s="26">
        <v>9.5</v>
      </c>
      <c r="E39" s="24">
        <v>0</v>
      </c>
    </row>
    <row r="40" spans="1:5" x14ac:dyDescent="0.25">
      <c r="A40" s="24">
        <v>48</v>
      </c>
      <c r="B40" s="25" t="s">
        <v>148</v>
      </c>
      <c r="C40" s="24">
        <v>15</v>
      </c>
      <c r="D40" s="26">
        <v>12.75</v>
      </c>
      <c r="E40" s="24">
        <v>70</v>
      </c>
    </row>
    <row r="41" spans="1:5" x14ac:dyDescent="0.25">
      <c r="A41" s="24">
        <v>49</v>
      </c>
      <c r="B41" s="25" t="s">
        <v>149</v>
      </c>
      <c r="C41" s="24">
        <v>10</v>
      </c>
      <c r="D41" s="26">
        <v>20</v>
      </c>
      <c r="E41" s="24">
        <v>60</v>
      </c>
    </row>
    <row r="42" spans="1:5" x14ac:dyDescent="0.25">
      <c r="A42" s="24">
        <v>50</v>
      </c>
      <c r="B42" s="25" t="s">
        <v>150</v>
      </c>
      <c r="C42" s="24">
        <v>65</v>
      </c>
      <c r="D42" s="26">
        <v>16.25</v>
      </c>
      <c r="E42" s="24">
        <v>0</v>
      </c>
    </row>
    <row r="43" spans="1:5" x14ac:dyDescent="0.25">
      <c r="A43" s="24">
        <v>51</v>
      </c>
      <c r="B43" s="25" t="s">
        <v>151</v>
      </c>
      <c r="C43" s="24">
        <v>20</v>
      </c>
      <c r="D43" s="26">
        <v>53</v>
      </c>
      <c r="E43" s="24">
        <v>0</v>
      </c>
    </row>
    <row r="44" spans="1:5" x14ac:dyDescent="0.25">
      <c r="A44" s="24">
        <v>52</v>
      </c>
      <c r="B44" s="25" t="s">
        <v>152</v>
      </c>
      <c r="C44" s="24">
        <v>38</v>
      </c>
      <c r="D44" s="26">
        <v>7</v>
      </c>
      <c r="E44" s="24">
        <v>0</v>
      </c>
    </row>
    <row r="45" spans="1:5" x14ac:dyDescent="0.25">
      <c r="A45" s="24">
        <v>53</v>
      </c>
      <c r="B45" s="25" t="s">
        <v>153</v>
      </c>
      <c r="C45" s="24">
        <v>0</v>
      </c>
      <c r="D45" s="26">
        <v>32.799999999999997</v>
      </c>
      <c r="E45" s="24">
        <v>0</v>
      </c>
    </row>
    <row r="46" spans="1:5" x14ac:dyDescent="0.25">
      <c r="A46" s="24">
        <v>54</v>
      </c>
      <c r="B46" s="25" t="s">
        <v>154</v>
      </c>
      <c r="C46" s="24">
        <v>21</v>
      </c>
      <c r="D46" s="26">
        <v>7.45</v>
      </c>
      <c r="E46" s="24">
        <v>0</v>
      </c>
    </row>
    <row r="47" spans="1:5" x14ac:dyDescent="0.25">
      <c r="A47" s="24">
        <v>55</v>
      </c>
      <c r="B47" s="25" t="s">
        <v>155</v>
      </c>
      <c r="C47" s="24">
        <v>115</v>
      </c>
      <c r="D47" s="26">
        <v>24</v>
      </c>
      <c r="E47" s="24">
        <v>0</v>
      </c>
    </row>
    <row r="48" spans="1:5" x14ac:dyDescent="0.25">
      <c r="A48" s="24">
        <v>56</v>
      </c>
      <c r="B48" s="25" t="s">
        <v>156</v>
      </c>
      <c r="C48" s="24">
        <v>21</v>
      </c>
      <c r="D48" s="26">
        <v>38</v>
      </c>
      <c r="E48" s="24">
        <v>10</v>
      </c>
    </row>
    <row r="49" spans="1:5" x14ac:dyDescent="0.25">
      <c r="A49" s="24">
        <v>57</v>
      </c>
      <c r="B49" s="25" t="s">
        <v>157</v>
      </c>
      <c r="C49" s="24">
        <v>36</v>
      </c>
      <c r="D49" s="26">
        <v>19.5</v>
      </c>
      <c r="E49" s="24">
        <v>0</v>
      </c>
    </row>
    <row r="50" spans="1:5" x14ac:dyDescent="0.25">
      <c r="A50" s="24">
        <v>58</v>
      </c>
      <c r="B50" s="25" t="s">
        <v>158</v>
      </c>
      <c r="C50" s="24">
        <v>62</v>
      </c>
      <c r="D50" s="26">
        <v>13.25</v>
      </c>
      <c r="E50" s="24">
        <v>0</v>
      </c>
    </row>
    <row r="51" spans="1:5" x14ac:dyDescent="0.25">
      <c r="A51" s="24">
        <v>59</v>
      </c>
      <c r="B51" s="25" t="s">
        <v>159</v>
      </c>
      <c r="C51" s="24">
        <v>79</v>
      </c>
      <c r="D51" s="26">
        <v>55</v>
      </c>
      <c r="E51" s="24">
        <v>0</v>
      </c>
    </row>
    <row r="52" spans="1:5" x14ac:dyDescent="0.25">
      <c r="A52" s="24">
        <v>60</v>
      </c>
      <c r="B52" s="25" t="s">
        <v>160</v>
      </c>
      <c r="C52" s="24">
        <v>19</v>
      </c>
      <c r="D52" s="26">
        <v>34</v>
      </c>
      <c r="E52" s="24">
        <v>0</v>
      </c>
    </row>
    <row r="53" spans="1:5" x14ac:dyDescent="0.25">
      <c r="A53" s="24">
        <v>61</v>
      </c>
      <c r="B53" s="25" t="s">
        <v>161</v>
      </c>
      <c r="C53" s="24">
        <v>113</v>
      </c>
      <c r="D53" s="26">
        <v>28.5</v>
      </c>
      <c r="E53" s="24">
        <v>0</v>
      </c>
    </row>
    <row r="54" spans="1:5" x14ac:dyDescent="0.25">
      <c r="A54" s="24">
        <v>62</v>
      </c>
      <c r="B54" s="25" t="s">
        <v>162</v>
      </c>
      <c r="C54" s="24">
        <v>17</v>
      </c>
      <c r="D54" s="26">
        <v>49.3</v>
      </c>
      <c r="E54" s="24">
        <v>0</v>
      </c>
    </row>
    <row r="55" spans="1:5" x14ac:dyDescent="0.25">
      <c r="A55" s="24">
        <v>63</v>
      </c>
      <c r="B55" s="25" t="s">
        <v>163</v>
      </c>
      <c r="C55" s="24">
        <v>24</v>
      </c>
      <c r="D55" s="26">
        <v>43.9</v>
      </c>
      <c r="E55" s="24">
        <v>0</v>
      </c>
    </row>
    <row r="56" spans="1:5" x14ac:dyDescent="0.25">
      <c r="A56" s="24">
        <v>64</v>
      </c>
      <c r="B56" s="25" t="s">
        <v>164</v>
      </c>
      <c r="C56" s="24">
        <v>22</v>
      </c>
      <c r="D56" s="26">
        <v>33.25</v>
      </c>
      <c r="E56" s="24">
        <v>80</v>
      </c>
    </row>
    <row r="57" spans="1:5" x14ac:dyDescent="0.25">
      <c r="A57" s="24">
        <v>65</v>
      </c>
      <c r="B57" s="25" t="s">
        <v>165</v>
      </c>
      <c r="C57" s="24">
        <v>76</v>
      </c>
      <c r="D57" s="26">
        <v>21.05</v>
      </c>
      <c r="E57" s="24">
        <v>0</v>
      </c>
    </row>
    <row r="58" spans="1:5" x14ac:dyDescent="0.25">
      <c r="A58" s="24">
        <v>66</v>
      </c>
      <c r="B58" s="25" t="s">
        <v>166</v>
      </c>
      <c r="C58" s="24">
        <v>4</v>
      </c>
      <c r="D58" s="26">
        <v>17</v>
      </c>
      <c r="E58" s="24">
        <v>100</v>
      </c>
    </row>
    <row r="59" spans="1:5" x14ac:dyDescent="0.25">
      <c r="A59" s="24">
        <v>67</v>
      </c>
      <c r="B59" s="25" t="s">
        <v>167</v>
      </c>
      <c r="C59" s="24">
        <v>52</v>
      </c>
      <c r="D59" s="26">
        <v>14</v>
      </c>
      <c r="E59" s="24">
        <v>0</v>
      </c>
    </row>
    <row r="60" spans="1:5" x14ac:dyDescent="0.25">
      <c r="A60" s="24">
        <v>68</v>
      </c>
      <c r="B60" s="25" t="s">
        <v>168</v>
      </c>
      <c r="C60" s="24">
        <v>6</v>
      </c>
      <c r="D60" s="26">
        <v>12.5</v>
      </c>
      <c r="E60" s="24">
        <v>10</v>
      </c>
    </row>
    <row r="61" spans="1:5" x14ac:dyDescent="0.25">
      <c r="A61" s="24">
        <v>69</v>
      </c>
      <c r="B61" s="25" t="s">
        <v>169</v>
      </c>
      <c r="C61" s="24">
        <v>26</v>
      </c>
      <c r="D61" s="26">
        <v>36</v>
      </c>
      <c r="E61" s="24">
        <v>0</v>
      </c>
    </row>
    <row r="62" spans="1:5" x14ac:dyDescent="0.25">
      <c r="A62" s="24">
        <v>70</v>
      </c>
      <c r="B62" s="25" t="s">
        <v>170</v>
      </c>
      <c r="C62" s="24">
        <v>15</v>
      </c>
      <c r="D62" s="26">
        <v>15</v>
      </c>
      <c r="E62" s="24">
        <v>10</v>
      </c>
    </row>
    <row r="63" spans="1:5" x14ac:dyDescent="0.25">
      <c r="A63" s="24">
        <v>71</v>
      </c>
      <c r="B63" s="25" t="s">
        <v>171</v>
      </c>
      <c r="C63" s="24">
        <v>26</v>
      </c>
      <c r="D63" s="26">
        <v>21.5</v>
      </c>
      <c r="E63" s="24">
        <v>0</v>
      </c>
    </row>
    <row r="64" spans="1:5" x14ac:dyDescent="0.25">
      <c r="A64" s="24">
        <v>72</v>
      </c>
      <c r="B64" s="25" t="s">
        <v>172</v>
      </c>
      <c r="C64" s="24">
        <v>14</v>
      </c>
      <c r="D64" s="26">
        <v>34.799999999999997</v>
      </c>
      <c r="E64" s="24">
        <v>0</v>
      </c>
    </row>
    <row r="65" spans="1:5" x14ac:dyDescent="0.25">
      <c r="A65" s="24">
        <v>73</v>
      </c>
      <c r="B65" s="25" t="s">
        <v>173</v>
      </c>
      <c r="C65" s="24">
        <v>101</v>
      </c>
      <c r="D65" s="26">
        <v>15</v>
      </c>
      <c r="E65" s="24">
        <v>0</v>
      </c>
    </row>
    <row r="66" spans="1:5" x14ac:dyDescent="0.25">
      <c r="A66" s="24">
        <v>74</v>
      </c>
      <c r="B66" s="25" t="s">
        <v>174</v>
      </c>
      <c r="C66" s="24">
        <v>4</v>
      </c>
      <c r="D66" s="26">
        <v>10</v>
      </c>
      <c r="E66" s="24">
        <v>20</v>
      </c>
    </row>
    <row r="67" spans="1:5" x14ac:dyDescent="0.25">
      <c r="A67" s="24">
        <v>75</v>
      </c>
      <c r="B67" s="25" t="s">
        <v>175</v>
      </c>
      <c r="C67" s="24">
        <v>125</v>
      </c>
      <c r="D67" s="26">
        <v>7.75</v>
      </c>
      <c r="E67" s="24">
        <v>0</v>
      </c>
    </row>
    <row r="68" spans="1:5" x14ac:dyDescent="0.25">
      <c r="A68" s="24">
        <v>76</v>
      </c>
      <c r="B68" s="25" t="s">
        <v>176</v>
      </c>
      <c r="C68" s="24">
        <v>57</v>
      </c>
      <c r="D68" s="26">
        <v>18</v>
      </c>
      <c r="E68" s="24">
        <v>0</v>
      </c>
    </row>
    <row r="69" spans="1:5" x14ac:dyDescent="0.25">
      <c r="A69" s="24">
        <v>77</v>
      </c>
      <c r="B69" s="25" t="s">
        <v>177</v>
      </c>
      <c r="C69" s="24">
        <v>32</v>
      </c>
      <c r="D69" s="26">
        <v>13</v>
      </c>
      <c r="E69" s="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Vlookup-1</vt:lpstr>
      <vt:lpstr>goal seek</vt:lpstr>
      <vt:lpstr>V-Lookup1</vt:lpstr>
      <vt:lpstr>Data table</vt:lpstr>
      <vt:lpstr>Charts</vt:lpstr>
      <vt:lpstr>Vlookup 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ahe013000</dc:creator>
  <cp:lastModifiedBy>Dupinder</cp:lastModifiedBy>
  <cp:lastPrinted>2014-01-14T18:45:26Z</cp:lastPrinted>
  <dcterms:created xsi:type="dcterms:W3CDTF">2014-01-13T22:41:06Z</dcterms:created>
  <dcterms:modified xsi:type="dcterms:W3CDTF">2019-08-19T20:22:40Z</dcterms:modified>
</cp:coreProperties>
</file>