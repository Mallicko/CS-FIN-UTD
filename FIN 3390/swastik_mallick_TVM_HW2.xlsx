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NI\Finance\FIN 3390\"/>
    </mc:Choice>
  </mc:AlternateContent>
  <xr:revisionPtr revIDLastSave="0" documentId="13_ncr:1_{01B0697F-3181-46B5-BECD-EA3DC8096ACC}" xr6:coauthVersionLast="47" xr6:coauthVersionMax="47" xr10:uidLastSave="{00000000-0000-0000-0000-000000000000}"/>
  <bookViews>
    <workbookView xWindow="-78" yWindow="0" windowWidth="15660" windowHeight="12318" xr2:uid="{0D335853-8EA5-4896-B7E1-DCF49854E5B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1" l="1"/>
  <c r="G16" i="1"/>
  <c r="D16" i="1"/>
  <c r="C11" i="1"/>
  <c r="C9" i="1"/>
  <c r="C7" i="1"/>
  <c r="C5" i="1"/>
</calcChain>
</file>

<file path=xl/sharedStrings.xml><?xml version="1.0" encoding="utf-8"?>
<sst xmlns="http://schemas.openxmlformats.org/spreadsheetml/2006/main" count="19" uniqueCount="17">
  <si>
    <t>Q1</t>
  </si>
  <si>
    <t>To complete your degree and then go through graduate school, you will need $45,000 at end of each of the next 6 years. Your Aunt offered to put you through school, and she will deposit in a bank paying 4.0% interest a sum of money that is sufficient to provide you with the needed 6 withdrawals of $45,000 each.</t>
  </si>
  <si>
    <t>a)</t>
  </si>
  <si>
    <t>How large of a deposit must she make today?</t>
  </si>
  <si>
    <t>b)</t>
  </si>
  <si>
    <t>How much will be in the account immediately after you make the 4th $45,000 withdrawal?</t>
  </si>
  <si>
    <t>c)</t>
  </si>
  <si>
    <t>How much will be in the account immediately after you make all the withdrawals including the last one in 6 years?</t>
  </si>
  <si>
    <t>d)</t>
  </si>
  <si>
    <t>Now, if you decide to drop out of school today and not make any of the withdrawal, but instead keep your aunt’s money, that she deposited today, in the account that is earning 4.0%, how much would you have at the end of 6 year</t>
  </si>
  <si>
    <t>Q2</t>
  </si>
  <si>
    <t>Suppose you wish to retire 38 years from today. You determined that you need $220,000 per year after you retire, with the first retirement funds withdrawn one year from the day you retire and that you will need to make 30 such withdrawals.  Assuming that you can earn 5% per year on your retirement funds for the next 70 years.</t>
  </si>
  <si>
    <t>How much must you deposit in an account today (lump sum), so that you may have enough funds for retirement?</t>
  </si>
  <si>
    <t xml:space="preserve"> If you cannot afford to make a single lump sum deposit, today, to support your retirement. How much must you deposit at the end of each year in an account so that you have enough funds for your desire retirement? Assuming the last deposit will be made on the day you retire in 38 years.</t>
  </si>
  <si>
    <t>PV</t>
  </si>
  <si>
    <t>PV(discount)</t>
  </si>
  <si>
    <t>PMT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</si>
</sst>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 x14ac:knownFonts="1">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5">
    <xf numFmtId="0" fontId="0" fillId="0" borderId="0" xfId="0"/>
    <xf numFmtId="8" fontId="0" fillId="2" borderId="0" xfId="0" applyNumberFormat="1" applyFill="1"/>
    <xf numFmtId="0" fontId="0" fillId="3" borderId="0" xfId="0" applyFill="1"/>
    <xf numFmtId="0" fontId="0" fillId="2" borderId="0" xfId="0" applyFill="1"/>
    <xf numFmtId="8"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FC0B6-7354-44F2-8194-1E8835048443}">
  <dimension ref="B2:G18"/>
  <sheetViews>
    <sheetView tabSelected="1" zoomScale="96" workbookViewId="0">
      <selection activeCell="E22" sqref="E22"/>
    </sheetView>
  </sheetViews>
  <sheetFormatPr defaultRowHeight="14.4" x14ac:dyDescent="0.55000000000000004"/>
  <cols>
    <col min="3" max="3" width="15.47265625" bestFit="1" customWidth="1"/>
    <col min="4" max="4" width="12.89453125" bestFit="1" customWidth="1"/>
    <col min="6" max="6" width="10.734375" bestFit="1" customWidth="1"/>
    <col min="7" max="7" width="11.3125" bestFit="1" customWidth="1"/>
  </cols>
  <sheetData>
    <row r="2" spans="2:7" x14ac:dyDescent="0.55000000000000004">
      <c r="B2" t="s">
        <v>0</v>
      </c>
      <c r="C2" t="s">
        <v>1</v>
      </c>
    </row>
    <row r="4" spans="2:7" x14ac:dyDescent="0.55000000000000004">
      <c r="B4" t="s">
        <v>2</v>
      </c>
      <c r="C4" t="s">
        <v>3</v>
      </c>
    </row>
    <row r="5" spans="2:7" x14ac:dyDescent="0.55000000000000004">
      <c r="C5" s="1">
        <f>PV(0.04, 6, -45000)</f>
        <v>235896.15855358608</v>
      </c>
    </row>
    <row r="6" spans="2:7" x14ac:dyDescent="0.55000000000000004">
      <c r="B6" t="s">
        <v>4</v>
      </c>
      <c r="C6" t="s">
        <v>5</v>
      </c>
    </row>
    <row r="7" spans="2:7" x14ac:dyDescent="0.55000000000000004">
      <c r="C7" s="1">
        <f>PV(0.04, 2, -45000)</f>
        <v>84874.260355029677</v>
      </c>
    </row>
    <row r="8" spans="2:7" x14ac:dyDescent="0.55000000000000004">
      <c r="B8" t="s">
        <v>6</v>
      </c>
      <c r="C8" t="s">
        <v>7</v>
      </c>
    </row>
    <row r="9" spans="2:7" x14ac:dyDescent="0.55000000000000004">
      <c r="C9" s="1">
        <f>FV(0.04, 6, 45000, -C5)</f>
        <v>0</v>
      </c>
    </row>
    <row r="10" spans="2:7" x14ac:dyDescent="0.55000000000000004">
      <c r="B10" t="s">
        <v>8</v>
      </c>
      <c r="C10" t="s">
        <v>9</v>
      </c>
    </row>
    <row r="11" spans="2:7" x14ac:dyDescent="0.55000000000000004">
      <c r="C11" s="1">
        <f>FV(4%, 6, 0, -C5)</f>
        <v>298483.89580800041</v>
      </c>
    </row>
    <row r="12" spans="2:7" s="2" customFormat="1" x14ac:dyDescent="0.55000000000000004"/>
    <row r="13" spans="2:7" x14ac:dyDescent="0.55000000000000004">
      <c r="B13" t="s">
        <v>10</v>
      </c>
      <c r="C13" t="s">
        <v>11</v>
      </c>
    </row>
    <row r="15" spans="2:7" x14ac:dyDescent="0.55000000000000004">
      <c r="B15" t="s">
        <v>2</v>
      </c>
      <c r="C15" t="s">
        <v>12</v>
      </c>
    </row>
    <row r="16" spans="2:7" x14ac:dyDescent="0.55000000000000004">
      <c r="C16" t="s">
        <v>14</v>
      </c>
      <c r="D16" s="4">
        <f>PV(5%, 30, -220000, 0)</f>
        <v>3381939.2259142241</v>
      </c>
      <c r="F16" s="3" t="s">
        <v>15</v>
      </c>
      <c r="G16" s="1">
        <f>PV(5%, 38, 0, -D16)</f>
        <v>529629.82598947303</v>
      </c>
    </row>
    <row r="17" spans="2:4" x14ac:dyDescent="0.55000000000000004">
      <c r="B17" t="s">
        <v>4</v>
      </c>
      <c r="C17" t="s">
        <v>13</v>
      </c>
    </row>
    <row r="18" spans="2:4" x14ac:dyDescent="0.55000000000000004">
      <c r="C18" t="s">
        <v>16</v>
      </c>
      <c r="D18" s="1">
        <f>PMT(5%, 38, 0, -G16)</f>
        <v>4917.2041536770121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Swastik Mallick</dc:creator>
  <cp:lastModifiedBy>Swastik Mallick</cp:lastModifiedBy>
  <dcterms:created xsi:type="dcterms:W3CDTF">2025-09-15T19:43:07Z</dcterms:created>
  <dcterms:modified xsi:type="dcterms:W3CDTF">2025-09-15T20:22:38Z</dcterms:modified>
</cp:coreProperties>
</file>