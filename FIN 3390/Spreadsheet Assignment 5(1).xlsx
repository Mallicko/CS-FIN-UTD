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Teaching\Fin_Intro\Fall_2025\Assignments\"/>
    </mc:Choice>
  </mc:AlternateContent>
  <xr:revisionPtr revIDLastSave="0" documentId="13_ncr:1_{0E979AEA-E996-4F3C-A63F-68166EB9753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FCNTX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</calcChain>
</file>

<file path=xl/sharedStrings.xml><?xml version="1.0" encoding="utf-8"?>
<sst xmlns="http://schemas.openxmlformats.org/spreadsheetml/2006/main" count="10" uniqueCount="10">
  <si>
    <t>Date</t>
  </si>
  <si>
    <t>Open</t>
  </si>
  <si>
    <t>High</t>
  </si>
  <si>
    <t>Low</t>
  </si>
  <si>
    <t>Close</t>
  </si>
  <si>
    <t>Adj Close</t>
  </si>
  <si>
    <t>Returns of FCNTX</t>
  </si>
  <si>
    <t>Returns of SPY</t>
  </si>
  <si>
    <t>Risk Free Rate</t>
  </si>
  <si>
    <t>Return of Nasdaq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</si>
</sst>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B1" zoomScale="160" zoomScaleNormal="160" workbookViewId="0">
      <selection activeCell="L4" sqref="L4"/>
    </sheetView>
  </sheetViews>
  <sheetFormatPr defaultRowHeight="14.5" x14ac:dyDescent="0.35"/>
  <cols>
    <col min="1" max="1" width="10" hidden="1" customWidth="1"/>
    <col min="2" max="2" width="10" bestFit="1" customWidth="1"/>
    <col min="7" max="7" width="16.81640625" customWidth="1"/>
    <col min="8" max="8" width="16.453125" bestFit="1" customWidth="1"/>
    <col min="10" max="10" width="13.81640625" bestFit="1" customWidth="1"/>
    <col min="11" max="11" width="13.81640625" customWidth="1"/>
    <col min="12" max="12" width="16.453125" bestFit="1" customWidth="1"/>
  </cols>
  <sheetData>
    <row r="1" spans="1:1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  <c r="K1" t="s">
        <v>8</v>
      </c>
      <c r="L1" t="s">
        <v>9</v>
      </c>
    </row>
    <row r="2" spans="1:12" x14ac:dyDescent="0.35">
      <c r="B2" s="1">
        <v>43040</v>
      </c>
      <c r="C2">
        <v>12.705</v>
      </c>
      <c r="D2">
        <v>12.958</v>
      </c>
      <c r="E2">
        <v>12.605</v>
      </c>
      <c r="F2">
        <v>12.895</v>
      </c>
      <c r="G2">
        <v>8.8088750000000005</v>
      </c>
    </row>
    <row r="3" spans="1:12" x14ac:dyDescent="0.35">
      <c r="A3" s="1">
        <f>B2</f>
        <v>43040</v>
      </c>
      <c r="B3" s="1">
        <v>43070</v>
      </c>
      <c r="C3">
        <v>12.824</v>
      </c>
      <c r="D3">
        <v>12.824</v>
      </c>
      <c r="E3">
        <v>12.193</v>
      </c>
      <c r="F3">
        <v>12.247</v>
      </c>
      <c r="G3">
        <v>8.3662120000000009</v>
      </c>
      <c r="H3" s="2">
        <f>G3/G2-1</f>
        <v>-5.0251933419420691E-2</v>
      </c>
      <c r="J3" s="2">
        <v>6.9807184848840187E-3</v>
      </c>
      <c r="K3" s="2">
        <v>9.038268036556385E-4</v>
      </c>
      <c r="L3" s="2">
        <v>4.279902455178064E-3</v>
      </c>
    </row>
    <row r="4" spans="1:12" x14ac:dyDescent="0.35">
      <c r="A4" s="1">
        <f t="shared" ref="A4:A61" si="0">B3</f>
        <v>43070</v>
      </c>
      <c r="B4" s="1">
        <v>43101</v>
      </c>
      <c r="C4">
        <v>12.384</v>
      </c>
      <c r="D4">
        <v>13.502000000000001</v>
      </c>
      <c r="E4">
        <v>12.384</v>
      </c>
      <c r="F4">
        <v>13.382999999999999</v>
      </c>
      <c r="G4">
        <v>9.6604539999999997</v>
      </c>
      <c r="H4" s="2">
        <f t="shared" ref="H4:H61" si="1">G4/G3-1</f>
        <v>0.15469868561781586</v>
      </c>
      <c r="J4" s="2">
        <v>6.175885595388797E-2</v>
      </c>
      <c r="K4" s="2">
        <v>9.9454180114277868E-4</v>
      </c>
      <c r="L4" s="2">
        <v>7.3600047645691946E-2</v>
      </c>
    </row>
    <row r="5" spans="1:12" x14ac:dyDescent="0.35">
      <c r="A5" s="1">
        <f t="shared" si="0"/>
        <v>43101</v>
      </c>
      <c r="B5" s="1">
        <v>43132</v>
      </c>
      <c r="C5">
        <v>13.366</v>
      </c>
      <c r="D5">
        <v>13.366</v>
      </c>
      <c r="E5">
        <v>12.196</v>
      </c>
      <c r="F5">
        <v>12.88</v>
      </c>
      <c r="G5">
        <v>9.2973649999999992</v>
      </c>
      <c r="H5" s="2">
        <f t="shared" si="1"/>
        <v>-3.7585086580817051E-2</v>
      </c>
      <c r="J5" s="2">
        <v>-3.636055445720987E-2</v>
      </c>
      <c r="K5" s="2">
        <v>1.0769315803607071E-3</v>
      </c>
      <c r="L5" s="2">
        <v>-1.8683206913283734E-2</v>
      </c>
    </row>
    <row r="6" spans="1:12" x14ac:dyDescent="0.35">
      <c r="A6" s="1">
        <f t="shared" si="0"/>
        <v>43132</v>
      </c>
      <c r="B6" s="1">
        <v>43160</v>
      </c>
      <c r="C6">
        <v>12.706</v>
      </c>
      <c r="D6">
        <v>13.315</v>
      </c>
      <c r="E6">
        <v>12.212999999999999</v>
      </c>
      <c r="F6">
        <v>12.427</v>
      </c>
      <c r="G6">
        <v>9.1091429999999995</v>
      </c>
      <c r="H6" s="2">
        <f t="shared" si="1"/>
        <v>-2.0244660718386265E-2</v>
      </c>
      <c r="J6" s="2">
        <v>-3.1290133595889502E-2</v>
      </c>
      <c r="K6" s="2">
        <v>1.1427897418165855E-3</v>
      </c>
      <c r="L6" s="2">
        <v>-2.8813321821682836E-2</v>
      </c>
    </row>
    <row r="7" spans="1:12" x14ac:dyDescent="0.35">
      <c r="A7" s="1">
        <f t="shared" si="0"/>
        <v>43160</v>
      </c>
      <c r="B7" s="1">
        <v>43191</v>
      </c>
      <c r="C7">
        <v>12.151</v>
      </c>
      <c r="D7">
        <v>12.84</v>
      </c>
      <c r="E7">
        <v>12.151</v>
      </c>
      <c r="F7">
        <v>12.576000000000001</v>
      </c>
      <c r="G7">
        <v>9.2183630000000001</v>
      </c>
      <c r="H7" s="2">
        <f t="shared" si="1"/>
        <v>1.1990150994446003E-2</v>
      </c>
      <c r="J7" s="2">
        <v>9.1938279423142699E-3</v>
      </c>
      <c r="K7" s="2">
        <v>1.3565002539421833E-3</v>
      </c>
      <c r="L7" s="2">
        <v>3.9921354609329107E-4</v>
      </c>
    </row>
    <row r="8" spans="1:12" x14ac:dyDescent="0.35">
      <c r="A8" s="1">
        <f t="shared" si="0"/>
        <v>43191</v>
      </c>
      <c r="B8" s="1">
        <v>43221</v>
      </c>
      <c r="C8">
        <v>12.654</v>
      </c>
      <c r="D8">
        <v>13.147</v>
      </c>
      <c r="E8">
        <v>12.587999999999999</v>
      </c>
      <c r="F8">
        <v>13.086</v>
      </c>
      <c r="G8">
        <v>9.5921970000000005</v>
      </c>
      <c r="H8" s="2">
        <f t="shared" si="1"/>
        <v>4.0553187154812598E-2</v>
      </c>
      <c r="J8" s="2">
        <v>2.4309014414763297E-2</v>
      </c>
      <c r="K8" s="2">
        <v>1.3729187604631932E-3</v>
      </c>
      <c r="L8" s="2">
        <v>5.3189319957518411E-2</v>
      </c>
    </row>
    <row r="9" spans="1:12" x14ac:dyDescent="0.35">
      <c r="A9" s="1">
        <f t="shared" si="0"/>
        <v>43221</v>
      </c>
      <c r="B9" s="1">
        <v>43252</v>
      </c>
      <c r="C9">
        <v>13.249000000000001</v>
      </c>
      <c r="D9">
        <v>13.577999999999999</v>
      </c>
      <c r="E9">
        <v>13.071</v>
      </c>
      <c r="F9">
        <v>13.207000000000001</v>
      </c>
      <c r="G9">
        <v>9.6808929999999993</v>
      </c>
      <c r="H9" s="2">
        <f t="shared" si="1"/>
        <v>9.2466824857744268E-3</v>
      </c>
      <c r="J9" s="2">
        <v>1.2551746770743666E-3</v>
      </c>
      <c r="K9" s="2">
        <v>1.4139520764002711E-3</v>
      </c>
      <c r="L9" s="2">
        <v>9.1613259297249616E-3</v>
      </c>
    </row>
    <row r="10" spans="1:12" x14ac:dyDescent="0.35">
      <c r="A10" s="1">
        <f t="shared" si="0"/>
        <v>43252</v>
      </c>
      <c r="B10" s="1">
        <v>43282</v>
      </c>
      <c r="C10">
        <v>13.284000000000001</v>
      </c>
      <c r="D10">
        <v>14.023999999999999</v>
      </c>
      <c r="E10">
        <v>13.161</v>
      </c>
      <c r="F10">
        <v>13.462999999999999</v>
      </c>
      <c r="G10">
        <v>9.8685449999999992</v>
      </c>
      <c r="H10" s="2">
        <f t="shared" si="1"/>
        <v>1.9383748999188377E-2</v>
      </c>
      <c r="J10" s="2">
        <v>4.1703048219783323E-2</v>
      </c>
      <c r="K10" s="2">
        <v>1.4959632659397037E-3</v>
      </c>
      <c r="L10" s="2">
        <v>2.1502501656789796E-2</v>
      </c>
    </row>
    <row r="11" spans="1:12" x14ac:dyDescent="0.35">
      <c r="A11" s="1">
        <f t="shared" si="0"/>
        <v>43282</v>
      </c>
      <c r="B11" s="1">
        <v>43313</v>
      </c>
      <c r="C11">
        <v>13.505000000000001</v>
      </c>
      <c r="D11">
        <v>14.17</v>
      </c>
      <c r="E11">
        <v>13.505000000000001</v>
      </c>
      <c r="F11">
        <v>14.07</v>
      </c>
      <c r="G11">
        <v>10.313482</v>
      </c>
      <c r="H11" s="2">
        <f t="shared" si="1"/>
        <v>4.5086383048362322E-2</v>
      </c>
      <c r="J11" s="2">
        <v>3.1920046427735604E-2</v>
      </c>
      <c r="K11" s="2">
        <v>1.5615190697231274E-3</v>
      </c>
      <c r="L11" s="2">
        <v>5.705969503527486E-2</v>
      </c>
    </row>
    <row r="12" spans="1:12" x14ac:dyDescent="0.35">
      <c r="A12" s="1">
        <f t="shared" si="0"/>
        <v>43313</v>
      </c>
      <c r="B12" s="1">
        <v>43344</v>
      </c>
      <c r="C12">
        <v>14.06</v>
      </c>
      <c r="D12">
        <v>14.15</v>
      </c>
      <c r="E12">
        <v>13.8</v>
      </c>
      <c r="F12">
        <v>14.09</v>
      </c>
      <c r="G12">
        <v>10.328142</v>
      </c>
      <c r="H12" s="2">
        <f t="shared" si="1"/>
        <v>1.421440401990326E-3</v>
      </c>
      <c r="J12" s="2">
        <v>1.4122697912366533E-3</v>
      </c>
      <c r="K12" s="2">
        <v>1.6024674913339698E-3</v>
      </c>
      <c r="L12" s="2">
        <v>-7.7920499431669565E-3</v>
      </c>
    </row>
    <row r="13" spans="1:12" x14ac:dyDescent="0.35">
      <c r="A13" s="1">
        <f t="shared" si="0"/>
        <v>43344</v>
      </c>
      <c r="B13" s="1">
        <v>43374</v>
      </c>
      <c r="C13">
        <v>14.14</v>
      </c>
      <c r="D13">
        <v>14.14</v>
      </c>
      <c r="E13">
        <v>12.28</v>
      </c>
      <c r="F13">
        <v>12.72</v>
      </c>
      <c r="G13">
        <v>9.3239149999999995</v>
      </c>
      <c r="H13" s="2">
        <f t="shared" si="1"/>
        <v>-9.7232106220073278E-2</v>
      </c>
      <c r="J13" s="2">
        <v>-6.4890427505416071E-2</v>
      </c>
      <c r="K13" s="2">
        <v>1.6843091316907088E-3</v>
      </c>
      <c r="L13" s="2">
        <v>-9.2023114453352761E-2</v>
      </c>
    </row>
    <row r="14" spans="1:12" x14ac:dyDescent="0.35">
      <c r="A14" s="1">
        <f t="shared" si="0"/>
        <v>43374</v>
      </c>
      <c r="B14" s="1">
        <v>43405</v>
      </c>
      <c r="C14">
        <v>12.87</v>
      </c>
      <c r="D14">
        <v>13.2</v>
      </c>
      <c r="E14">
        <v>12.03</v>
      </c>
      <c r="F14">
        <v>12.81</v>
      </c>
      <c r="G14">
        <v>9.3898860000000006</v>
      </c>
      <c r="H14" s="2">
        <f t="shared" si="1"/>
        <v>7.075461327135768E-3</v>
      </c>
      <c r="J14" s="2">
        <v>1.8549191826226608E-2</v>
      </c>
      <c r="K14" s="2">
        <v>1.7905934192179451E-3</v>
      </c>
      <c r="L14" s="2">
        <v>3.3726354495022814E-3</v>
      </c>
    </row>
    <row r="15" spans="1:12" x14ac:dyDescent="0.35">
      <c r="A15" s="1">
        <f t="shared" si="0"/>
        <v>43405</v>
      </c>
      <c r="B15" s="1">
        <v>43435</v>
      </c>
      <c r="C15">
        <v>13</v>
      </c>
      <c r="D15">
        <v>13</v>
      </c>
      <c r="E15">
        <v>10.25</v>
      </c>
      <c r="F15">
        <v>11.01</v>
      </c>
      <c r="G15">
        <v>8.0704639999999994</v>
      </c>
      <c r="H15" s="2">
        <f t="shared" si="1"/>
        <v>-0.14051523096233554</v>
      </c>
      <c r="J15" s="2">
        <v>-9.3342916202360571E-2</v>
      </c>
      <c r="K15" s="2">
        <v>1.8477720842495771E-3</v>
      </c>
      <c r="L15" s="2">
        <v>-9.4844343022624678E-2</v>
      </c>
    </row>
    <row r="16" spans="1:12" x14ac:dyDescent="0.35">
      <c r="A16" s="1">
        <f t="shared" si="0"/>
        <v>43435</v>
      </c>
      <c r="B16" s="1">
        <v>43466</v>
      </c>
      <c r="C16">
        <v>11.03</v>
      </c>
      <c r="D16">
        <v>12.05</v>
      </c>
      <c r="E16">
        <v>10.72</v>
      </c>
      <c r="F16">
        <v>12.05</v>
      </c>
      <c r="G16">
        <v>9.4505429999999997</v>
      </c>
      <c r="H16" s="2">
        <f t="shared" si="1"/>
        <v>0.17100367463382526</v>
      </c>
      <c r="J16" s="2">
        <v>8.6372820298775244E-2</v>
      </c>
      <c r="K16" s="2">
        <v>1.9538658918776264E-3</v>
      </c>
      <c r="L16" s="2">
        <v>9.7427760387951867E-2</v>
      </c>
    </row>
    <row r="17" spans="1:12" x14ac:dyDescent="0.35">
      <c r="A17" s="1">
        <f t="shared" si="0"/>
        <v>43466</v>
      </c>
      <c r="B17" s="1">
        <v>43497</v>
      </c>
      <c r="C17">
        <v>12.03</v>
      </c>
      <c r="D17">
        <v>12.27</v>
      </c>
      <c r="E17">
        <v>11.94</v>
      </c>
      <c r="F17">
        <v>12.23</v>
      </c>
      <c r="G17">
        <v>9.5917130000000004</v>
      </c>
      <c r="H17" s="2">
        <f t="shared" si="1"/>
        <v>1.4937766009847309E-2</v>
      </c>
      <c r="J17" s="2">
        <v>3.2415844302825958E-2</v>
      </c>
      <c r="K17" s="2">
        <v>1.9783315388433032E-3</v>
      </c>
      <c r="L17" s="2">
        <v>3.4440881292223224E-2</v>
      </c>
    </row>
    <row r="18" spans="1:12" x14ac:dyDescent="0.35">
      <c r="A18" s="1">
        <f t="shared" si="0"/>
        <v>43497</v>
      </c>
      <c r="B18" s="1">
        <v>43525</v>
      </c>
      <c r="C18">
        <v>12.33</v>
      </c>
      <c r="D18">
        <v>12.69</v>
      </c>
      <c r="E18">
        <v>12.08</v>
      </c>
      <c r="F18">
        <v>12.5</v>
      </c>
      <c r="G18">
        <v>9.8906170000000007</v>
      </c>
      <c r="H18" s="2">
        <f t="shared" si="1"/>
        <v>3.1162733914161134E-2</v>
      </c>
      <c r="J18" s="2">
        <v>1.3635595592270455E-2</v>
      </c>
      <c r="K18" s="2">
        <v>2.0027906163269105E-3</v>
      </c>
      <c r="L18" s="2">
        <v>2.6125358228503925E-2</v>
      </c>
    </row>
    <row r="19" spans="1:12" x14ac:dyDescent="0.35">
      <c r="A19" s="1">
        <f t="shared" si="0"/>
        <v>43525</v>
      </c>
      <c r="B19" s="1">
        <v>43556</v>
      </c>
      <c r="C19">
        <v>12.65</v>
      </c>
      <c r="D19">
        <v>13.17</v>
      </c>
      <c r="E19">
        <v>12.65</v>
      </c>
      <c r="F19">
        <v>13.11</v>
      </c>
      <c r="G19">
        <v>10.373279999999999</v>
      </c>
      <c r="H19" s="2">
        <f t="shared" si="1"/>
        <v>4.8800090024717191E-2</v>
      </c>
      <c r="J19" s="2">
        <v>4.5437246153325228E-2</v>
      </c>
      <c r="K19" s="2">
        <v>2.0190930200914003E-3</v>
      </c>
      <c r="L19" s="2">
        <v>4.7361258342982548E-2</v>
      </c>
    </row>
    <row r="20" spans="1:12" x14ac:dyDescent="0.35">
      <c r="A20" s="1">
        <f t="shared" si="0"/>
        <v>43556</v>
      </c>
      <c r="B20" s="1">
        <v>43586</v>
      </c>
      <c r="C20">
        <v>13</v>
      </c>
      <c r="D20">
        <v>13.14</v>
      </c>
      <c r="E20">
        <v>12.36</v>
      </c>
      <c r="F20">
        <v>12.36</v>
      </c>
      <c r="G20">
        <v>9.7798420000000004</v>
      </c>
      <c r="H20" s="2">
        <f t="shared" si="1"/>
        <v>-5.7208327549241766E-2</v>
      </c>
      <c r="J20" s="2">
        <v>-6.3771053993695981E-2</v>
      </c>
      <c r="K20" s="2">
        <v>2.0027906163269105E-3</v>
      </c>
      <c r="L20" s="2">
        <v>-7.9334068418103754E-2</v>
      </c>
    </row>
    <row r="21" spans="1:12" x14ac:dyDescent="0.35">
      <c r="A21" s="1">
        <f t="shared" si="0"/>
        <v>43586</v>
      </c>
      <c r="B21" s="1">
        <v>43617</v>
      </c>
      <c r="C21">
        <v>12.12</v>
      </c>
      <c r="D21">
        <v>13.27</v>
      </c>
      <c r="E21">
        <v>12.12</v>
      </c>
      <c r="F21">
        <v>13.18</v>
      </c>
      <c r="G21">
        <v>10.428668</v>
      </c>
      <c r="H21" s="2">
        <f t="shared" si="1"/>
        <v>6.6343198591551911E-2</v>
      </c>
      <c r="J21" s="2">
        <v>6.4409466545763738E-2</v>
      </c>
      <c r="K21" s="2">
        <v>1.9783315388433032E-3</v>
      </c>
      <c r="L21" s="2">
        <v>7.4208937063184877E-2</v>
      </c>
    </row>
    <row r="22" spans="1:12" x14ac:dyDescent="0.35">
      <c r="A22" s="1">
        <f t="shared" si="0"/>
        <v>43617</v>
      </c>
      <c r="B22" s="1">
        <v>43647</v>
      </c>
      <c r="C22">
        <v>13.29</v>
      </c>
      <c r="D22">
        <v>13.63</v>
      </c>
      <c r="E22">
        <v>13.29</v>
      </c>
      <c r="F22">
        <v>13.3</v>
      </c>
      <c r="G22">
        <v>10.523617</v>
      </c>
      <c r="H22" s="2">
        <f t="shared" si="1"/>
        <v>9.1046143189139617E-3</v>
      </c>
      <c r="J22" s="2">
        <v>2.0056484465073021E-2</v>
      </c>
      <c r="K22" s="2">
        <v>1.8314389855391688E-3</v>
      </c>
      <c r="L22" s="2">
        <v>2.1130978218908192E-2</v>
      </c>
    </row>
    <row r="23" spans="1:12" x14ac:dyDescent="0.35">
      <c r="A23" s="1">
        <f t="shared" si="0"/>
        <v>43647</v>
      </c>
      <c r="B23" s="1">
        <v>43678</v>
      </c>
      <c r="C23">
        <v>13.22</v>
      </c>
      <c r="D23">
        <v>13.22</v>
      </c>
      <c r="E23">
        <v>12.67</v>
      </c>
      <c r="F23">
        <v>13.06</v>
      </c>
      <c r="G23">
        <v>10.333717999999999</v>
      </c>
      <c r="H23" s="2">
        <f t="shared" si="1"/>
        <v>-1.8045031475394824E-2</v>
      </c>
      <c r="J23" s="2">
        <v>-1.6743223170507471E-2</v>
      </c>
      <c r="K23" s="2">
        <v>1.7742500619855051E-3</v>
      </c>
      <c r="L23" s="2">
        <v>-2.5997446128492641E-2</v>
      </c>
    </row>
    <row r="24" spans="1:12" x14ac:dyDescent="0.35">
      <c r="A24" s="1">
        <f t="shared" si="0"/>
        <v>43678</v>
      </c>
      <c r="B24" s="1">
        <v>43709</v>
      </c>
      <c r="C24">
        <v>12.93</v>
      </c>
      <c r="D24">
        <v>13.24</v>
      </c>
      <c r="E24">
        <v>12.8</v>
      </c>
      <c r="F24">
        <v>12.86</v>
      </c>
      <c r="G24">
        <v>10.175466999999999</v>
      </c>
      <c r="H24" s="2">
        <f t="shared" si="1"/>
        <v>-1.5314042825631535E-2</v>
      </c>
      <c r="J24" s="2">
        <v>1.4771454309364662E-2</v>
      </c>
      <c r="K24" s="2">
        <v>1.7088472872288651E-3</v>
      </c>
      <c r="L24" s="2">
        <v>4.5787405481072518E-3</v>
      </c>
    </row>
    <row r="25" spans="1:12" x14ac:dyDescent="0.35">
      <c r="A25" s="1">
        <f t="shared" si="0"/>
        <v>43709</v>
      </c>
      <c r="B25" s="1">
        <v>43739</v>
      </c>
      <c r="C25">
        <v>12.76</v>
      </c>
      <c r="D25">
        <v>13.27</v>
      </c>
      <c r="E25">
        <v>12.54</v>
      </c>
      <c r="F25">
        <v>13.22</v>
      </c>
      <c r="G25">
        <v>10.460317999999999</v>
      </c>
      <c r="H25" s="2">
        <f t="shared" si="1"/>
        <v>2.7993899444615167E-2</v>
      </c>
      <c r="J25" s="2">
        <v>2.6824775874592088E-2</v>
      </c>
      <c r="K25" s="2">
        <v>1.6433975062259965E-3</v>
      </c>
      <c r="L25" s="2">
        <v>3.6630586237661023E-2</v>
      </c>
    </row>
    <row r="26" spans="1:12" x14ac:dyDescent="0.35">
      <c r="A26" s="1">
        <f t="shared" si="0"/>
        <v>43739</v>
      </c>
      <c r="B26" s="1">
        <v>43770</v>
      </c>
      <c r="C26">
        <v>13.33</v>
      </c>
      <c r="D26">
        <v>13.83</v>
      </c>
      <c r="E26">
        <v>13.3</v>
      </c>
      <c r="F26">
        <v>13.79</v>
      </c>
      <c r="G26">
        <v>10.911329</v>
      </c>
      <c r="H26" s="2">
        <f t="shared" si="1"/>
        <v>4.311637562070314E-2</v>
      </c>
      <c r="J26" s="2">
        <v>3.6198259288482193E-2</v>
      </c>
      <c r="K26" s="2">
        <v>1.4303602255574255E-3</v>
      </c>
      <c r="L26" s="2">
        <v>4.4994351326038462E-2</v>
      </c>
    </row>
    <row r="27" spans="1:12" x14ac:dyDescent="0.35">
      <c r="A27" s="1">
        <f t="shared" si="0"/>
        <v>43770</v>
      </c>
      <c r="B27" s="1">
        <v>43800</v>
      </c>
      <c r="C27">
        <v>13.65</v>
      </c>
      <c r="D27">
        <v>13.81</v>
      </c>
      <c r="E27">
        <v>13.39</v>
      </c>
      <c r="F27">
        <v>13.71</v>
      </c>
      <c r="G27">
        <v>10.84803</v>
      </c>
      <c r="H27" s="2">
        <f t="shared" si="1"/>
        <v>-5.8012181650833883E-3</v>
      </c>
      <c r="J27" s="2">
        <v>2.4020877036388555E-2</v>
      </c>
      <c r="K27" s="2">
        <v>1.3072269593599195E-3</v>
      </c>
      <c r="L27" s="2">
        <v>3.5442958278769421E-2</v>
      </c>
    </row>
    <row r="28" spans="1:12" x14ac:dyDescent="0.35">
      <c r="A28" s="1">
        <f t="shared" si="0"/>
        <v>43800</v>
      </c>
      <c r="B28" s="1">
        <v>43831</v>
      </c>
      <c r="C28">
        <v>13.9</v>
      </c>
      <c r="D28">
        <v>14.39</v>
      </c>
      <c r="E28">
        <v>13.8</v>
      </c>
      <c r="F28">
        <v>14</v>
      </c>
      <c r="G28">
        <v>11.462623000000001</v>
      </c>
      <c r="H28" s="2">
        <f t="shared" si="1"/>
        <v>5.6654802761423095E-2</v>
      </c>
      <c r="J28" s="2">
        <v>4.5106810333026548E-3</v>
      </c>
      <c r="K28" s="2">
        <v>1.2825803067024744E-3</v>
      </c>
      <c r="L28" s="2">
        <v>1.9876159504667257E-2</v>
      </c>
    </row>
    <row r="29" spans="1:12" x14ac:dyDescent="0.35">
      <c r="A29" s="1">
        <f t="shared" si="0"/>
        <v>43831</v>
      </c>
      <c r="B29" s="1">
        <v>43862</v>
      </c>
      <c r="C29">
        <v>14.15</v>
      </c>
      <c r="D29">
        <v>14.87</v>
      </c>
      <c r="E29">
        <v>13.08</v>
      </c>
      <c r="F29">
        <v>13.08</v>
      </c>
      <c r="G29">
        <v>10.709364000000001</v>
      </c>
      <c r="H29" s="2">
        <f t="shared" si="1"/>
        <v>-6.5714365725890178E-2</v>
      </c>
      <c r="J29" s="2">
        <v>-7.9165744579723141E-2</v>
      </c>
      <c r="K29" s="2">
        <v>1.2661454966749197E-3</v>
      </c>
      <c r="L29" s="2">
        <v>-6.3771621885642671E-2</v>
      </c>
    </row>
    <row r="30" spans="1:12" x14ac:dyDescent="0.35">
      <c r="A30" s="1">
        <f t="shared" si="0"/>
        <v>43862</v>
      </c>
      <c r="B30" s="1">
        <v>43891</v>
      </c>
      <c r="C30">
        <v>13.62</v>
      </c>
      <c r="D30">
        <v>13.75</v>
      </c>
      <c r="E30">
        <v>10.5</v>
      </c>
      <c r="F30">
        <v>11.76</v>
      </c>
      <c r="G30">
        <v>9.6933140000000009</v>
      </c>
      <c r="H30" s="2">
        <f t="shared" si="1"/>
        <v>-9.4874915074321886E-2</v>
      </c>
      <c r="J30" s="2">
        <v>-0.1299870254006017</v>
      </c>
      <c r="K30" s="2">
        <v>1.3072269593599195E-3</v>
      </c>
      <c r="L30" s="2">
        <v>-0.10122943297139697</v>
      </c>
    </row>
    <row r="31" spans="1:12" x14ac:dyDescent="0.35">
      <c r="A31" s="1">
        <f t="shared" si="0"/>
        <v>43891</v>
      </c>
      <c r="B31" s="1">
        <v>43922</v>
      </c>
      <c r="C31">
        <v>11.28</v>
      </c>
      <c r="D31">
        <v>13.47</v>
      </c>
      <c r="E31">
        <v>11.28</v>
      </c>
      <c r="F31">
        <v>13.47</v>
      </c>
      <c r="G31">
        <v>11.102802000000001</v>
      </c>
      <c r="H31" s="2">
        <f t="shared" si="1"/>
        <v>0.14540826800823736</v>
      </c>
      <c r="J31" s="2">
        <v>0.13361034385735815</v>
      </c>
      <c r="K31" s="2">
        <v>3.0781168409865778E-4</v>
      </c>
      <c r="L31" s="2">
        <v>0.15447197982646288</v>
      </c>
    </row>
    <row r="32" spans="1:12" x14ac:dyDescent="0.35">
      <c r="A32" s="1">
        <f t="shared" si="0"/>
        <v>43922</v>
      </c>
      <c r="B32" s="1">
        <v>43952</v>
      </c>
      <c r="C32">
        <v>13.13</v>
      </c>
      <c r="D32">
        <v>14.34</v>
      </c>
      <c r="E32">
        <v>13.13</v>
      </c>
      <c r="F32">
        <v>14.34</v>
      </c>
      <c r="G32">
        <v>11.819909000000001</v>
      </c>
      <c r="H32" s="2">
        <f t="shared" si="1"/>
        <v>6.458793014592179E-2</v>
      </c>
      <c r="J32" s="2">
        <v>4.7645140364906524E-2</v>
      </c>
      <c r="K32" s="2">
        <v>9.1620483841925449E-5</v>
      </c>
      <c r="L32" s="2">
        <v>6.7531013962298214E-2</v>
      </c>
    </row>
    <row r="33" spans="1:12" x14ac:dyDescent="0.35">
      <c r="A33" s="1">
        <f t="shared" si="0"/>
        <v>43952</v>
      </c>
      <c r="B33" s="1">
        <v>43983</v>
      </c>
      <c r="C33">
        <v>14.44</v>
      </c>
      <c r="D33">
        <v>15.1</v>
      </c>
      <c r="E33">
        <v>14.15</v>
      </c>
      <c r="F33">
        <v>14.92</v>
      </c>
      <c r="G33">
        <v>12.297980000000001</v>
      </c>
      <c r="H33" s="2">
        <f t="shared" si="1"/>
        <v>4.0446250474517109E-2</v>
      </c>
      <c r="J33" s="2">
        <v>1.3275503190345539E-2</v>
      </c>
      <c r="K33" s="2">
        <v>8.3295163273211514E-5</v>
      </c>
      <c r="L33" s="2">
        <v>5.9948071679177373E-2</v>
      </c>
    </row>
    <row r="34" spans="1:12" x14ac:dyDescent="0.35">
      <c r="A34" s="1">
        <f t="shared" si="0"/>
        <v>43983</v>
      </c>
      <c r="B34" s="1">
        <v>44013</v>
      </c>
      <c r="C34">
        <v>15.15</v>
      </c>
      <c r="D34">
        <v>15.99</v>
      </c>
      <c r="E34">
        <v>15.15</v>
      </c>
      <c r="F34">
        <v>15.99</v>
      </c>
      <c r="G34">
        <v>13.179938999999999</v>
      </c>
      <c r="H34" s="2">
        <f t="shared" si="1"/>
        <v>7.1715761450254378E-2</v>
      </c>
      <c r="J34" s="2">
        <v>6.3551950134098645E-2</v>
      </c>
      <c r="K34" s="2">
        <v>1.0826883828274347E-4</v>
      </c>
      <c r="L34" s="2">
        <v>6.8248904389774934E-2</v>
      </c>
    </row>
    <row r="35" spans="1:12" x14ac:dyDescent="0.35">
      <c r="A35" s="1">
        <f t="shared" si="0"/>
        <v>44013</v>
      </c>
      <c r="B35" s="1">
        <v>44044</v>
      </c>
      <c r="C35">
        <v>16.149999999999999</v>
      </c>
      <c r="D35">
        <v>17.530000999999999</v>
      </c>
      <c r="E35">
        <v>16</v>
      </c>
      <c r="F35">
        <v>17.530000999999999</v>
      </c>
      <c r="G35">
        <v>14.449304</v>
      </c>
      <c r="H35" s="2">
        <f t="shared" si="1"/>
        <v>9.631038504806444E-2</v>
      </c>
      <c r="J35" s="2">
        <v>6.9796875566401129E-2</v>
      </c>
      <c r="K35" s="2">
        <v>9.1620483841925449E-5</v>
      </c>
      <c r="L35" s="2">
        <v>9.5873856586650597E-2</v>
      </c>
    </row>
    <row r="36" spans="1:12" x14ac:dyDescent="0.35">
      <c r="A36" s="1">
        <f t="shared" si="0"/>
        <v>44044</v>
      </c>
      <c r="B36" s="1">
        <v>44075</v>
      </c>
      <c r="C36">
        <v>17.75</v>
      </c>
      <c r="D36">
        <v>17.959999</v>
      </c>
      <c r="E36">
        <v>15.99</v>
      </c>
      <c r="F36">
        <v>16.68</v>
      </c>
      <c r="G36">
        <v>13.74868</v>
      </c>
      <c r="H36" s="2">
        <f t="shared" si="1"/>
        <v>-4.8488425463261042E-2</v>
      </c>
      <c r="J36" s="2">
        <v>-4.1281452810364883E-2</v>
      </c>
      <c r="K36" s="2">
        <v>6.6642234708869097E-5</v>
      </c>
      <c r="L36" s="2">
        <v>-5.1628573067507788E-2</v>
      </c>
    </row>
    <row r="37" spans="1:12" x14ac:dyDescent="0.35">
      <c r="A37" s="1">
        <f t="shared" si="0"/>
        <v>44075</v>
      </c>
      <c r="B37" s="1">
        <v>44105</v>
      </c>
      <c r="C37">
        <v>16.879999000000002</v>
      </c>
      <c r="D37">
        <v>17.59</v>
      </c>
      <c r="E37">
        <v>16.149999999999999</v>
      </c>
      <c r="F37">
        <v>16.149999999999999</v>
      </c>
      <c r="G37">
        <v>13.311821999999999</v>
      </c>
      <c r="H37" s="2">
        <f t="shared" si="1"/>
        <v>-3.1774541265052414E-2</v>
      </c>
      <c r="J37" s="2">
        <v>-2.1030505023338697E-2</v>
      </c>
      <c r="K37" s="2">
        <v>7.4969080277487166E-5</v>
      </c>
      <c r="L37" s="2">
        <v>-2.2916471743697042E-2</v>
      </c>
    </row>
    <row r="38" spans="1:12" x14ac:dyDescent="0.35">
      <c r="A38" s="1">
        <f t="shared" si="0"/>
        <v>44105</v>
      </c>
      <c r="B38" s="1">
        <v>44136</v>
      </c>
      <c r="C38">
        <v>16.23</v>
      </c>
      <c r="D38">
        <v>17.629999000000002</v>
      </c>
      <c r="E38">
        <v>16.23</v>
      </c>
      <c r="F38">
        <v>17.5</v>
      </c>
      <c r="G38">
        <v>14.424575000000001</v>
      </c>
      <c r="H38" s="2">
        <f t="shared" si="1"/>
        <v>8.3591337083684047E-2</v>
      </c>
      <c r="J38" s="2">
        <v>0.10877682470827565</v>
      </c>
      <c r="K38" s="2">
        <v>7.4969080277487166E-5</v>
      </c>
      <c r="L38" s="2">
        <v>0.11796176436266714</v>
      </c>
    </row>
    <row r="39" spans="1:12" x14ac:dyDescent="0.35">
      <c r="A39" s="1">
        <f t="shared" si="0"/>
        <v>44136</v>
      </c>
      <c r="B39" s="1">
        <v>44166</v>
      </c>
      <c r="C39">
        <v>17.68</v>
      </c>
      <c r="D39">
        <v>17.77</v>
      </c>
      <c r="E39">
        <v>16.260000000000002</v>
      </c>
      <c r="F39">
        <v>16.760000000000002</v>
      </c>
      <c r="G39">
        <v>13.814622</v>
      </c>
      <c r="H39" s="2">
        <f t="shared" si="1"/>
        <v>-4.228568259376797E-2</v>
      </c>
      <c r="J39" s="2">
        <v>3.2646680814194751E-2</v>
      </c>
      <c r="K39" s="2">
        <v>7.4969080277487166E-5</v>
      </c>
      <c r="L39" s="2">
        <v>5.6525512124451449E-2</v>
      </c>
    </row>
    <row r="40" spans="1:12" x14ac:dyDescent="0.35">
      <c r="A40" s="1">
        <f t="shared" si="0"/>
        <v>44166</v>
      </c>
      <c r="B40" s="1">
        <v>44197</v>
      </c>
      <c r="C40">
        <v>16.540001</v>
      </c>
      <c r="D40">
        <v>17.239999999999998</v>
      </c>
      <c r="E40">
        <v>16.489999999999998</v>
      </c>
      <c r="F40">
        <v>16.579999999999998</v>
      </c>
      <c r="G40">
        <v>14.711954</v>
      </c>
      <c r="H40" s="2">
        <f t="shared" si="1"/>
        <v>6.4955233664735879E-2</v>
      </c>
      <c r="J40" s="2">
        <v>-5.9712463872351185E-3</v>
      </c>
      <c r="K40" s="2">
        <v>6.6642234708869097E-5</v>
      </c>
      <c r="L40" s="2">
        <v>1.4153180497023854E-2</v>
      </c>
    </row>
    <row r="41" spans="1:12" x14ac:dyDescent="0.35">
      <c r="A41" s="1">
        <f t="shared" si="0"/>
        <v>44197</v>
      </c>
      <c r="B41" s="1">
        <v>44228</v>
      </c>
      <c r="C41">
        <v>16.899999999999999</v>
      </c>
      <c r="D41">
        <v>17.68</v>
      </c>
      <c r="E41">
        <v>16.450001</v>
      </c>
      <c r="F41">
        <v>16.459999</v>
      </c>
      <c r="G41">
        <v>14.605473</v>
      </c>
      <c r="H41" s="2">
        <f t="shared" si="1"/>
        <v>-7.2377197481721112E-3</v>
      </c>
      <c r="J41" s="2">
        <v>2.7805484847871043E-2</v>
      </c>
      <c r="K41" s="2">
        <v>6.6642234708869097E-5</v>
      </c>
      <c r="L41" s="2">
        <v>9.3077852047329657E-3</v>
      </c>
    </row>
    <row r="42" spans="1:12" x14ac:dyDescent="0.35">
      <c r="A42" s="1">
        <f t="shared" si="0"/>
        <v>44228</v>
      </c>
      <c r="B42" s="1">
        <v>44256</v>
      </c>
      <c r="C42">
        <v>16.850000000000001</v>
      </c>
      <c r="D42">
        <v>16.850000000000001</v>
      </c>
      <c r="E42">
        <v>16.030000999999999</v>
      </c>
      <c r="F42">
        <v>16.799999</v>
      </c>
      <c r="G42">
        <v>15.252238999999999</v>
      </c>
      <c r="H42" s="2">
        <f t="shared" si="1"/>
        <v>4.4282441246510817E-2</v>
      </c>
      <c r="J42" s="2">
        <v>4.1986589006849595E-2</v>
      </c>
      <c r="K42" s="2">
        <v>3.3327223783574667E-5</v>
      </c>
      <c r="L42" s="2">
        <v>4.1327367463643849E-3</v>
      </c>
    </row>
    <row r="43" spans="1:12" x14ac:dyDescent="0.35">
      <c r="A43" s="1">
        <f t="shared" si="0"/>
        <v>44256</v>
      </c>
      <c r="B43" s="1">
        <v>44287</v>
      </c>
      <c r="C43">
        <v>17.09</v>
      </c>
      <c r="D43">
        <v>18.170000000000002</v>
      </c>
      <c r="E43">
        <v>17.09</v>
      </c>
      <c r="F43">
        <v>17.98</v>
      </c>
      <c r="G43">
        <v>16.323528</v>
      </c>
      <c r="H43" s="2">
        <f t="shared" si="1"/>
        <v>7.0238146674727497E-2</v>
      </c>
      <c r="J43" s="2">
        <v>5.6359027363038106E-2</v>
      </c>
      <c r="K43" s="2">
        <v>1.6665139084048874E-5</v>
      </c>
      <c r="L43" s="2">
        <v>5.4036128132741723E-2</v>
      </c>
    </row>
    <row r="44" spans="1:12" x14ac:dyDescent="0.35">
      <c r="A44" s="1">
        <f t="shared" si="0"/>
        <v>44287</v>
      </c>
      <c r="B44" s="1">
        <v>44317</v>
      </c>
      <c r="C44">
        <v>17.91</v>
      </c>
      <c r="D44">
        <v>18.02</v>
      </c>
      <c r="E44">
        <v>17.149999999999999</v>
      </c>
      <c r="F44">
        <v>18.02</v>
      </c>
      <c r="G44">
        <v>16.359842</v>
      </c>
      <c r="H44" s="2">
        <f t="shared" si="1"/>
        <v>2.2246416338429498E-3</v>
      </c>
      <c r="J44" s="2">
        <v>6.565943338428859E-3</v>
      </c>
      <c r="K44" s="2">
        <v>1.6665139084048874E-5</v>
      </c>
      <c r="L44" s="2">
        <v>-1.5322234612591301E-2</v>
      </c>
    </row>
    <row r="45" spans="1:12" x14ac:dyDescent="0.35">
      <c r="A45" s="1">
        <f t="shared" si="0"/>
        <v>44317</v>
      </c>
      <c r="B45" s="1">
        <v>44348</v>
      </c>
      <c r="C45">
        <v>17.989999999999998</v>
      </c>
      <c r="D45">
        <v>18.790001</v>
      </c>
      <c r="E45">
        <v>17.899999999999999</v>
      </c>
      <c r="F45">
        <v>18.760000000000002</v>
      </c>
      <c r="G45">
        <v>17.031668</v>
      </c>
      <c r="H45" s="2">
        <f t="shared" si="1"/>
        <v>4.1065555523091213E-2</v>
      </c>
      <c r="J45" s="2">
        <v>1.9093366713993198E-2</v>
      </c>
      <c r="K45" s="2">
        <v>8.3329514133367866E-6</v>
      </c>
      <c r="L45" s="2">
        <v>5.4929393395068971E-2</v>
      </c>
    </row>
    <row r="46" spans="1:12" x14ac:dyDescent="0.35">
      <c r="A46" s="1">
        <f t="shared" si="0"/>
        <v>44348</v>
      </c>
      <c r="B46" s="1">
        <v>44378</v>
      </c>
      <c r="C46">
        <v>18.850000000000001</v>
      </c>
      <c r="D46">
        <v>19.469999000000001</v>
      </c>
      <c r="E46">
        <v>18.639999</v>
      </c>
      <c r="F46">
        <v>19.16</v>
      </c>
      <c r="G46">
        <v>17.394815000000001</v>
      </c>
      <c r="H46" s="2">
        <f t="shared" si="1"/>
        <v>2.1321869355368062E-2</v>
      </c>
      <c r="J46" s="2">
        <v>2.7763983163688E-2</v>
      </c>
      <c r="K46" s="2">
        <v>2.4996563158685703E-5</v>
      </c>
      <c r="L46" s="2">
        <v>1.1633347517848502E-2</v>
      </c>
    </row>
    <row r="47" spans="1:12" x14ac:dyDescent="0.35">
      <c r="A47" s="1">
        <f t="shared" si="0"/>
        <v>44378</v>
      </c>
      <c r="B47" s="1">
        <v>44409</v>
      </c>
      <c r="C47">
        <v>19.129999000000002</v>
      </c>
      <c r="D47">
        <v>20.059999000000001</v>
      </c>
      <c r="E47">
        <v>19.129999000000002</v>
      </c>
      <c r="F47">
        <v>20.030000999999999</v>
      </c>
      <c r="G47">
        <v>18.184664000000001</v>
      </c>
      <c r="H47" s="2">
        <f t="shared" si="1"/>
        <v>4.5407151498880527E-2</v>
      </c>
      <c r="J47" s="2">
        <v>2.9759810422940625E-2</v>
      </c>
      <c r="K47" s="2">
        <v>4.1657121104599071E-5</v>
      </c>
      <c r="L47" s="2">
        <v>3.9976375036641532E-2</v>
      </c>
    </row>
    <row r="48" spans="1:12" x14ac:dyDescent="0.35">
      <c r="A48" s="1">
        <f t="shared" si="0"/>
        <v>44409</v>
      </c>
      <c r="B48" s="1">
        <v>44440</v>
      </c>
      <c r="C48">
        <v>20.09</v>
      </c>
      <c r="D48">
        <v>20.110001</v>
      </c>
      <c r="E48">
        <v>18.829999999999998</v>
      </c>
      <c r="F48">
        <v>18.829999999999998</v>
      </c>
      <c r="G48">
        <v>17.095217000000002</v>
      </c>
      <c r="H48" s="2">
        <f t="shared" si="1"/>
        <v>-5.9910207854266595E-2</v>
      </c>
      <c r="J48" s="2">
        <v>-4.9650017348345954E-2</v>
      </c>
      <c r="K48" s="2">
        <v>3.3327223783574667E-5</v>
      </c>
      <c r="L48" s="2">
        <v>-5.3125853159695424E-2</v>
      </c>
    </row>
    <row r="49" spans="1:12" x14ac:dyDescent="0.35">
      <c r="A49" s="1">
        <f t="shared" si="0"/>
        <v>44440</v>
      </c>
      <c r="B49" s="1">
        <v>44470</v>
      </c>
      <c r="C49">
        <v>19</v>
      </c>
      <c r="D49">
        <v>20.139999</v>
      </c>
      <c r="E49">
        <v>18.579999999999998</v>
      </c>
      <c r="F49">
        <v>20.139999</v>
      </c>
      <c r="G49">
        <v>18.284528999999999</v>
      </c>
      <c r="H49" s="2">
        <f t="shared" si="1"/>
        <v>6.956986857785985E-2</v>
      </c>
      <c r="J49" s="2">
        <v>7.3592030125528618E-2</v>
      </c>
      <c r="K49" s="2">
        <v>4.1657121104599071E-5</v>
      </c>
      <c r="L49" s="2">
        <v>7.2658321048341801E-2</v>
      </c>
    </row>
    <row r="50" spans="1:12" x14ac:dyDescent="0.35">
      <c r="A50" s="1">
        <f t="shared" si="0"/>
        <v>44470</v>
      </c>
      <c r="B50" s="1">
        <v>44501</v>
      </c>
      <c r="C50">
        <v>20.09</v>
      </c>
      <c r="D50">
        <v>20.9</v>
      </c>
      <c r="E50">
        <v>20.09</v>
      </c>
      <c r="F50">
        <v>20.120000999999998</v>
      </c>
      <c r="G50">
        <v>18.266373000000002</v>
      </c>
      <c r="H50" s="2">
        <f t="shared" si="1"/>
        <v>-9.9297061466541159E-4</v>
      </c>
      <c r="J50" s="2">
        <v>-8.0348037437008024E-3</v>
      </c>
      <c r="K50" s="2">
        <v>4.99862552685304E-5</v>
      </c>
      <c r="L50" s="2">
        <v>2.5357977759368211E-3</v>
      </c>
    </row>
    <row r="51" spans="1:12" x14ac:dyDescent="0.35">
      <c r="A51" s="1">
        <f t="shared" si="0"/>
        <v>44501</v>
      </c>
      <c r="B51" s="1">
        <v>44531</v>
      </c>
      <c r="C51">
        <v>19.709999</v>
      </c>
      <c r="D51">
        <v>20.450001</v>
      </c>
      <c r="E51">
        <v>18.07</v>
      </c>
      <c r="F51">
        <v>18.760000000000002</v>
      </c>
      <c r="G51">
        <v>17.031668</v>
      </c>
      <c r="H51" s="2">
        <f t="shared" si="1"/>
        <v>-6.7594426107470906E-2</v>
      </c>
      <c r="J51" s="2">
        <v>4.2584869667511516E-2</v>
      </c>
      <c r="K51" s="2">
        <v>5.8314626421251958E-5</v>
      </c>
      <c r="L51" s="2">
        <v>6.9044558123558808E-3</v>
      </c>
    </row>
    <row r="52" spans="1:12" x14ac:dyDescent="0.35">
      <c r="A52" s="1">
        <f t="shared" si="0"/>
        <v>44531</v>
      </c>
      <c r="B52" s="1">
        <v>44562</v>
      </c>
      <c r="C52">
        <v>18.809999000000001</v>
      </c>
      <c r="D52">
        <v>18.809999000000001</v>
      </c>
      <c r="E52">
        <v>16.34</v>
      </c>
      <c r="F52">
        <v>17.219999000000001</v>
      </c>
      <c r="G52">
        <v>16.997906</v>
      </c>
      <c r="H52" s="2">
        <f t="shared" si="1"/>
        <v>-1.9823073112980039E-3</v>
      </c>
      <c r="J52" s="2">
        <v>-4.9413325538457231E-2</v>
      </c>
      <c r="K52" s="2">
        <v>3.3327223783574667E-5</v>
      </c>
      <c r="L52" s="2">
        <v>-8.9810965985770097E-2</v>
      </c>
    </row>
    <row r="53" spans="1:12" x14ac:dyDescent="0.35">
      <c r="A53" s="1">
        <f t="shared" si="0"/>
        <v>44562</v>
      </c>
      <c r="B53" s="1">
        <v>44593</v>
      </c>
      <c r="C53">
        <v>17.399999999999999</v>
      </c>
      <c r="D53">
        <v>17.59</v>
      </c>
      <c r="E53">
        <v>15.49</v>
      </c>
      <c r="F53">
        <v>16.170000000000002</v>
      </c>
      <c r="G53">
        <v>15.961449</v>
      </c>
      <c r="H53" s="2">
        <f t="shared" si="1"/>
        <v>-6.0975569578982314E-2</v>
      </c>
      <c r="J53" s="2">
        <v>-2.9516989613587508E-2</v>
      </c>
      <c r="K53" s="2">
        <v>4.1657121104599071E-5</v>
      </c>
      <c r="L53" s="2">
        <v>-3.430362446969526E-2</v>
      </c>
    </row>
    <row r="54" spans="1:12" x14ac:dyDescent="0.35">
      <c r="A54" s="1">
        <f t="shared" si="0"/>
        <v>44593</v>
      </c>
      <c r="B54" s="1">
        <v>44621</v>
      </c>
      <c r="C54">
        <v>15.92</v>
      </c>
      <c r="D54">
        <v>17.120000999999998</v>
      </c>
      <c r="E54">
        <v>15.13</v>
      </c>
      <c r="F54">
        <v>16.700001</v>
      </c>
      <c r="G54">
        <v>16.700001</v>
      </c>
      <c r="H54" s="2">
        <f t="shared" si="1"/>
        <v>4.6270987051363566E-2</v>
      </c>
      <c r="J54" s="2">
        <v>3.4376919623433366E-2</v>
      </c>
      <c r="K54" s="2">
        <v>3.3327223783574667E-5</v>
      </c>
      <c r="L54" s="2">
        <v>3.4114281212190622E-2</v>
      </c>
    </row>
    <row r="55" spans="1:12" x14ac:dyDescent="0.35">
      <c r="A55" s="1">
        <f t="shared" si="0"/>
        <v>44621</v>
      </c>
      <c r="B55" s="1">
        <v>44652</v>
      </c>
      <c r="C55">
        <v>16.75</v>
      </c>
      <c r="D55">
        <v>16.950001</v>
      </c>
      <c r="E55">
        <v>14.77</v>
      </c>
      <c r="F55">
        <v>14.77</v>
      </c>
      <c r="G55">
        <v>14.77</v>
      </c>
      <c r="H55" s="2">
        <f t="shared" si="1"/>
        <v>-0.11556891523539436</v>
      </c>
      <c r="J55" s="2">
        <v>-8.4935069076637726E-2</v>
      </c>
      <c r="K55" s="2">
        <v>1.4987639212593606E-4</v>
      </c>
      <c r="L55" s="2">
        <v>-0.1326168062206784</v>
      </c>
    </row>
    <row r="56" spans="1:12" x14ac:dyDescent="0.35">
      <c r="A56" s="1">
        <f t="shared" si="0"/>
        <v>44652</v>
      </c>
      <c r="B56" s="1">
        <v>44682</v>
      </c>
      <c r="C56">
        <v>14.9</v>
      </c>
      <c r="D56">
        <v>15.39</v>
      </c>
      <c r="E56">
        <v>13.84</v>
      </c>
      <c r="F56">
        <v>14.58</v>
      </c>
      <c r="G56">
        <v>14.58</v>
      </c>
      <c r="H56" s="2">
        <f t="shared" si="1"/>
        <v>-1.2863913337846977E-2</v>
      </c>
      <c r="J56" s="2">
        <v>2.25727748269966E-3</v>
      </c>
      <c r="K56" s="2">
        <v>2.5796701004310307E-4</v>
      </c>
      <c r="L56" s="2">
        <v>-2.0531609129016082E-2</v>
      </c>
    </row>
    <row r="57" spans="1:12" x14ac:dyDescent="0.35">
      <c r="A57" s="1">
        <f t="shared" si="0"/>
        <v>44682</v>
      </c>
      <c r="B57" s="1">
        <v>44713</v>
      </c>
      <c r="C57">
        <v>14.5</v>
      </c>
      <c r="D57">
        <v>14.84</v>
      </c>
      <c r="E57">
        <v>12.97</v>
      </c>
      <c r="F57">
        <v>13.3</v>
      </c>
      <c r="G57">
        <v>13.3</v>
      </c>
      <c r="H57" s="2">
        <f t="shared" si="1"/>
        <v>-8.7791495198902614E-2</v>
      </c>
      <c r="J57" s="2">
        <v>-8.6406895332374001E-2</v>
      </c>
      <c r="K57" s="2">
        <v>4.8205321330185846E-4</v>
      </c>
      <c r="L57" s="2">
        <v>-8.7129828990679004E-2</v>
      </c>
    </row>
    <row r="58" spans="1:12" x14ac:dyDescent="0.35">
      <c r="A58" s="1">
        <f t="shared" si="0"/>
        <v>44713</v>
      </c>
      <c r="B58" s="1">
        <v>44743</v>
      </c>
      <c r="C58">
        <v>13.4</v>
      </c>
      <c r="D58">
        <v>14.51</v>
      </c>
      <c r="E58">
        <v>13.31</v>
      </c>
      <c r="F58">
        <v>14.51</v>
      </c>
      <c r="G58">
        <v>14.51</v>
      </c>
      <c r="H58" s="2">
        <f t="shared" si="1"/>
        <v>9.097744360902249E-2</v>
      </c>
      <c r="J58" s="2">
        <v>9.6804965195900206E-2</v>
      </c>
      <c r="K58" s="2">
        <v>8.7907064595027506E-4</v>
      </c>
      <c r="L58" s="2">
        <v>0.123491003242719</v>
      </c>
    </row>
    <row r="59" spans="1:12" x14ac:dyDescent="0.35">
      <c r="A59" s="1">
        <f t="shared" si="0"/>
        <v>44743</v>
      </c>
      <c r="B59" s="1">
        <v>44774</v>
      </c>
      <c r="C59">
        <v>14.44</v>
      </c>
      <c r="D59">
        <v>15.17</v>
      </c>
      <c r="E59">
        <v>13.93</v>
      </c>
      <c r="F59">
        <v>13.93</v>
      </c>
      <c r="G59">
        <v>13.93</v>
      </c>
      <c r="H59" s="2">
        <f t="shared" si="1"/>
        <v>-3.9972432804962099E-2</v>
      </c>
      <c r="J59" s="2">
        <v>-4.0801991135681726E-2</v>
      </c>
      <c r="K59" s="2">
        <v>1.5287470679612447E-3</v>
      </c>
      <c r="L59" s="2">
        <v>-4.6364666944552213E-2</v>
      </c>
    </row>
    <row r="60" spans="1:12" x14ac:dyDescent="0.35">
      <c r="A60" s="1">
        <f t="shared" si="0"/>
        <v>44774</v>
      </c>
      <c r="B60" s="1">
        <v>44805</v>
      </c>
      <c r="C60">
        <v>13.95</v>
      </c>
      <c r="D60">
        <v>14.46</v>
      </c>
      <c r="E60">
        <v>12.79</v>
      </c>
      <c r="F60">
        <v>12.79</v>
      </c>
      <c r="G60">
        <v>12.79</v>
      </c>
      <c r="H60" s="2">
        <f t="shared" si="1"/>
        <v>-8.1837760229720113E-2</v>
      </c>
      <c r="J60" s="2">
        <v>-9.6158721286032089E-2</v>
      </c>
      <c r="K60" s="2">
        <v>1.8804294971668245E-3</v>
      </c>
      <c r="L60" s="2">
        <v>-0.10498976468974752</v>
      </c>
    </row>
    <row r="61" spans="1:12" x14ac:dyDescent="0.35">
      <c r="A61" s="1">
        <f t="shared" si="0"/>
        <v>44805</v>
      </c>
      <c r="B61" s="1">
        <v>44835</v>
      </c>
      <c r="C61">
        <v>13.14</v>
      </c>
      <c r="D61">
        <v>13.78</v>
      </c>
      <c r="E61">
        <v>12.79</v>
      </c>
      <c r="F61">
        <v>13.57</v>
      </c>
      <c r="G61">
        <v>13.57</v>
      </c>
      <c r="H61" s="2">
        <f t="shared" si="1"/>
        <v>6.0985144644253308E-2</v>
      </c>
      <c r="J61" s="2">
        <v>7.3938298163928717E-2</v>
      </c>
      <c r="K61" s="2">
        <v>2.1494073283745418E-3</v>
      </c>
      <c r="L61" s="2">
        <v>3.7385052850419154E-2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FCNTX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Huaizhi Chen</dc:creator>
  <cp:lastModifiedBy>Chen, Huaizhi</cp:lastModifiedBy>
  <dcterms:created xsi:type="dcterms:W3CDTF">2022-10-27T20:51:13Z</dcterms:created>
  <dcterms:modified xsi:type="dcterms:W3CDTF">2025-10-17T18:41:37Z</dcterms:modified>
</cp:coreProperties>
</file>