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Finance\FIN 3390\"/>
    </mc:Choice>
  </mc:AlternateContent>
  <xr:revisionPtr revIDLastSave="0" documentId="8_{7601E3CB-FF4D-474E-B17F-F838C865E7C3}" xr6:coauthVersionLast="47" xr6:coauthVersionMax="47" xr10:uidLastSave="{00000000-0000-0000-0000-000000000000}"/>
  <bookViews>
    <workbookView xWindow="4278" yWindow="4968" windowWidth="17280" windowHeight="8904" xr2:uid="{EF1ECF51-8F67-41A2-BD02-F697BEE6E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D27" i="1"/>
  <c r="E25" i="1"/>
  <c r="F19" i="1"/>
  <c r="F20" i="1"/>
  <c r="D16" i="1"/>
  <c r="C17" i="1"/>
  <c r="C18" i="1" s="1"/>
  <c r="C23" i="1"/>
  <c r="C12" i="1"/>
  <c r="C11" i="1"/>
  <c r="C10" i="1"/>
  <c r="F18" i="1" s="1"/>
  <c r="C9" i="1"/>
  <c r="F17" i="1" s="1"/>
  <c r="C8" i="1"/>
  <c r="F16" i="1" s="1"/>
  <c r="G16" i="1" s="1"/>
  <c r="E6" i="1"/>
  <c r="B3" i="1"/>
  <c r="C19" i="1" l="1"/>
  <c r="D18" i="1"/>
  <c r="G18" i="1" s="1"/>
  <c r="D17" i="1"/>
  <c r="G17" i="1" s="1"/>
  <c r="H16" i="1"/>
  <c r="I16" i="1" s="1"/>
  <c r="F32" i="1" s="1"/>
  <c r="G19" i="1" l="1"/>
  <c r="H19" i="1" s="1"/>
  <c r="I19" i="1" s="1"/>
  <c r="F35" i="1" s="1"/>
  <c r="H17" i="1"/>
  <c r="I17" i="1" s="1"/>
  <c r="F33" i="1" s="1"/>
  <c r="H18" i="1"/>
  <c r="I18" i="1" s="1"/>
  <c r="F34" i="1" s="1"/>
  <c r="C20" i="1"/>
  <c r="D19" i="1"/>
  <c r="C30" i="1" l="1"/>
  <c r="C37" i="1" s="1"/>
  <c r="D20" i="1"/>
  <c r="G20" i="1"/>
  <c r="H20" i="1" s="1"/>
  <c r="I20" i="1" s="1"/>
  <c r="F36" i="1" s="1"/>
</calcChain>
</file>

<file path=xl/sharedStrings.xml><?xml version="1.0" encoding="utf-8"?>
<sst xmlns="http://schemas.openxmlformats.org/spreadsheetml/2006/main" count="63" uniqueCount="52">
  <si>
    <t>machine</t>
  </si>
  <si>
    <t>install</t>
  </si>
  <si>
    <t>total cost</t>
  </si>
  <si>
    <t>n</t>
  </si>
  <si>
    <t>sales 1</t>
  </si>
  <si>
    <t>sa growth</t>
  </si>
  <si>
    <t>fixed cost</t>
  </si>
  <si>
    <t>varible cost</t>
  </si>
  <si>
    <t>Initial invent</t>
  </si>
  <si>
    <t>Tax</t>
  </si>
  <si>
    <t>WACC</t>
  </si>
  <si>
    <t>year</t>
  </si>
  <si>
    <t>rate</t>
  </si>
  <si>
    <t>MACRS 3 year rates</t>
  </si>
  <si>
    <t>Annuak Deprec</t>
  </si>
  <si>
    <t>1)</t>
  </si>
  <si>
    <t>2)</t>
  </si>
  <si>
    <t>Initial Outley</t>
  </si>
  <si>
    <t>Year 1</t>
  </si>
  <si>
    <t>Sales</t>
  </si>
  <si>
    <t>Var cost</t>
  </si>
  <si>
    <t>Fix cost</t>
  </si>
  <si>
    <t>Depr</t>
  </si>
  <si>
    <t>EBIT</t>
  </si>
  <si>
    <t>TAX</t>
  </si>
  <si>
    <t>Net income</t>
  </si>
  <si>
    <t>Year 2</t>
  </si>
  <si>
    <t>Year 3</t>
  </si>
  <si>
    <t>Year 4</t>
  </si>
  <si>
    <t>Year 5</t>
  </si>
  <si>
    <t>3)</t>
  </si>
  <si>
    <t>MARCS (1-4)</t>
  </si>
  <si>
    <t>Thus year 5</t>
  </si>
  <si>
    <t xml:space="preserve">Gain on Sale </t>
  </si>
  <si>
    <t>BV</t>
  </si>
  <si>
    <t>After tax SV</t>
  </si>
  <si>
    <t>Total Terminal CF</t>
  </si>
  <si>
    <t>4)</t>
  </si>
  <si>
    <t>NPV</t>
  </si>
  <si>
    <t>OCF</t>
  </si>
  <si>
    <t>Year 0</t>
  </si>
  <si>
    <t>PI</t>
  </si>
  <si>
    <t>5)</t>
  </si>
  <si>
    <t>#</t>
  </si>
  <si>
    <t>Scenario</t>
  </si>
  <si>
    <t>Growth</t>
  </si>
  <si>
    <t>Prob</t>
  </si>
  <si>
    <t>Best</t>
  </si>
  <si>
    <t>Expected</t>
  </si>
  <si>
    <t>Wrost</t>
  </si>
  <si>
    <t>E NPV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</si>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</sst>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0" fillId="0" borderId="0" xfId="1" applyNumberFormat="1" applyFont="1"/>
    <xf numFmtId="9" fontId="0" fillId="0" borderId="0" xfId="1" applyNumberFormat="1" applyFont="1"/>
    <xf numFmtId="44" fontId="0" fillId="0" borderId="0" xfId="0" applyNumberFormat="1"/>
    <xf numFmtId="9" fontId="0" fillId="0" borderId="0" xfId="0" applyNumberFormat="1"/>
    <xf numFmtId="8" fontId="0" fillId="0" borderId="0" xfId="0" applyNumberFormat="1"/>
    <xf numFmtId="0" fontId="0" fillId="0" borderId="0" xfId="0" applyBorder="1"/>
    <xf numFmtId="0" fontId="0" fillId="0" borderId="1" xfId="0" applyBorder="1"/>
    <xf numFmtId="10" fontId="0" fillId="0" borderId="1" xfId="0" applyNumberFormat="1" applyBorder="1"/>
    <xf numFmtId="44" fontId="0" fillId="0" borderId="1" xfId="0" applyNumberFormat="1" applyBorder="1"/>
    <xf numFmtId="44" fontId="0" fillId="0" borderId="1" xfId="1" applyFont="1" applyBorder="1"/>
    <xf numFmtId="9" fontId="0" fillId="0" borderId="1" xfId="0" applyNumberFormat="1" applyBorder="1"/>
    <xf numFmtId="0" fontId="0" fillId="0" borderId="2" xfId="0" applyBorder="1"/>
    <xf numFmtId="9" fontId="0" fillId="0" borderId="2" xfId="0" applyNumberFormat="1" applyBorder="1"/>
    <xf numFmtId="44" fontId="0" fillId="0" borderId="0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121920</xdr:colOff>
      <xdr:row>0</xdr:row>
      <xdr:rowOff>0</xdr:rowOff>
    </xdr:from>
    <xdr:to>
      <xdr:col>26</xdr:col>
      <xdr:colOff>25387</xdr:colOff>
      <xdr:row>33</xdr:row>
      <xdr:rowOff>80540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7C4BE-D886-6F6E-A8A3-1A1EF066E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0"/>
          <a:ext cx="11053768" cy="6115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AF67-E18E-4011-99A6-29C006A3BD1C}">
  <dimension ref="A1:L44"/>
  <sheetViews>
    <sheetView tabSelected="1" zoomScale="85" zoomScaleNormal="85" workbookViewId="0">
      <selection activeCell="G38" sqref="G38"/>
    </sheetView>
  </sheetViews>
  <sheetFormatPr defaultRowHeight="14.4" x14ac:dyDescent="0.55000000000000004"/>
  <cols>
    <col min="1" max="1" width="9.578125" bestFit="1" customWidth="1"/>
    <col min="2" max="2" width="11.89453125" style="1" bestFit="1" customWidth="1"/>
    <col min="3" max="3" width="12.89453125" bestFit="1" customWidth="1"/>
    <col min="4" max="4" width="17.05078125" bestFit="1" customWidth="1"/>
    <col min="5" max="5" width="11.89453125" bestFit="1" customWidth="1"/>
    <col min="6" max="6" width="12.47265625" bestFit="1" customWidth="1"/>
    <col min="7" max="9" width="10.89453125" bestFit="1" customWidth="1"/>
    <col min="12" max="12" width="12.578125" bestFit="1" customWidth="1"/>
  </cols>
  <sheetData>
    <row r="1" spans="1:9" x14ac:dyDescent="0.55000000000000004">
      <c r="A1" t="s">
        <v>0</v>
      </c>
      <c r="B1" s="1">
        <v>100000</v>
      </c>
      <c r="D1" t="s">
        <v>3</v>
      </c>
      <c r="E1" s="2">
        <v>5</v>
      </c>
    </row>
    <row r="2" spans="1:9" x14ac:dyDescent="0.55000000000000004">
      <c r="A2" t="s">
        <v>1</v>
      </c>
      <c r="B2" s="1">
        <v>10000</v>
      </c>
      <c r="D2" t="s">
        <v>4</v>
      </c>
      <c r="E2" s="1">
        <v>260000</v>
      </c>
    </row>
    <row r="3" spans="1:9" x14ac:dyDescent="0.55000000000000004">
      <c r="A3" t="s">
        <v>2</v>
      </c>
      <c r="B3" s="1">
        <f>SUM(B1:B2)</f>
        <v>110000</v>
      </c>
      <c r="D3" t="s">
        <v>5</v>
      </c>
      <c r="E3" s="3">
        <v>0.03</v>
      </c>
    </row>
    <row r="4" spans="1:9" x14ac:dyDescent="0.55000000000000004">
      <c r="D4" t="s">
        <v>6</v>
      </c>
      <c r="E4" s="1">
        <v>25000</v>
      </c>
    </row>
    <row r="5" spans="1:9" x14ac:dyDescent="0.55000000000000004">
      <c r="D5" t="s">
        <v>7</v>
      </c>
      <c r="E5" s="3">
        <v>0.7</v>
      </c>
    </row>
    <row r="6" spans="1:9" x14ac:dyDescent="0.55000000000000004">
      <c r="A6" s="8" t="s">
        <v>13</v>
      </c>
      <c r="B6" s="8"/>
      <c r="C6" s="8"/>
      <c r="D6" t="s">
        <v>8</v>
      </c>
      <c r="E6" s="1">
        <f>50000-30000</f>
        <v>20000</v>
      </c>
    </row>
    <row r="7" spans="1:9" x14ac:dyDescent="0.55000000000000004">
      <c r="A7" s="8" t="s">
        <v>11</v>
      </c>
      <c r="B7" s="8" t="s">
        <v>12</v>
      </c>
      <c r="C7" s="8" t="s">
        <v>14</v>
      </c>
      <c r="D7" t="s">
        <v>9</v>
      </c>
      <c r="E7" s="3">
        <v>0.4</v>
      </c>
    </row>
    <row r="8" spans="1:9" x14ac:dyDescent="0.55000000000000004">
      <c r="A8" s="8">
        <v>1</v>
      </c>
      <c r="B8" s="9">
        <v>0.33329999999999999</v>
      </c>
      <c r="C8" s="10">
        <f>B3*B8</f>
        <v>36663</v>
      </c>
      <c r="D8" t="s">
        <v>10</v>
      </c>
      <c r="E8" s="3">
        <v>0.09</v>
      </c>
    </row>
    <row r="9" spans="1:9" x14ac:dyDescent="0.55000000000000004">
      <c r="A9" s="8">
        <v>2</v>
      </c>
      <c r="B9" s="9">
        <v>0.44450000000000001</v>
      </c>
      <c r="C9" s="10">
        <f>B3*B9</f>
        <v>48895</v>
      </c>
    </row>
    <row r="10" spans="1:9" x14ac:dyDescent="0.55000000000000004">
      <c r="A10" s="8">
        <v>3</v>
      </c>
      <c r="B10" s="9">
        <v>0.14810000000000001</v>
      </c>
      <c r="C10" s="10">
        <f>B3*B10</f>
        <v>16291.000000000002</v>
      </c>
    </row>
    <row r="11" spans="1:9" x14ac:dyDescent="0.55000000000000004">
      <c r="A11" s="8">
        <v>4</v>
      </c>
      <c r="B11" s="9">
        <v>7.4099999999999999E-2</v>
      </c>
      <c r="C11" s="10">
        <f>B3*B11</f>
        <v>8151</v>
      </c>
    </row>
    <row r="12" spans="1:9" x14ac:dyDescent="0.55000000000000004">
      <c r="A12" s="8">
        <v>5</v>
      </c>
      <c r="B12" s="9">
        <v>0</v>
      </c>
      <c r="C12" s="10">
        <f>B3*B12</f>
        <v>0</v>
      </c>
    </row>
    <row r="15" spans="1:9" x14ac:dyDescent="0.55000000000000004">
      <c r="A15" t="s">
        <v>15</v>
      </c>
      <c r="B15" s="11" t="s">
        <v>43</v>
      </c>
      <c r="C15" s="8" t="s">
        <v>19</v>
      </c>
      <c r="D15" s="8" t="s">
        <v>20</v>
      </c>
      <c r="E15" s="8" t="s">
        <v>21</v>
      </c>
      <c r="F15" s="8" t="s">
        <v>22</v>
      </c>
      <c r="G15" s="8" t="s">
        <v>23</v>
      </c>
      <c r="H15" s="8" t="s">
        <v>24</v>
      </c>
      <c r="I15" s="8" t="s">
        <v>25</v>
      </c>
    </row>
    <row r="16" spans="1:9" x14ac:dyDescent="0.55000000000000004">
      <c r="B16" s="11" t="s">
        <v>18</v>
      </c>
      <c r="C16" s="11">
        <v>260000</v>
      </c>
      <c r="D16" s="10">
        <f>E5*C16</f>
        <v>182000</v>
      </c>
      <c r="E16" s="11">
        <v>25000</v>
      </c>
      <c r="F16" s="10">
        <f>C8</f>
        <v>36663</v>
      </c>
      <c r="G16" s="10">
        <f>C16-D16-E16-F16</f>
        <v>16337</v>
      </c>
      <c r="H16" s="10">
        <f>G16*E$7</f>
        <v>6534.8</v>
      </c>
      <c r="I16" s="10">
        <f>G16-H16</f>
        <v>9802.2000000000007</v>
      </c>
    </row>
    <row r="17" spans="1:9" x14ac:dyDescent="0.55000000000000004">
      <c r="B17" s="11" t="s">
        <v>26</v>
      </c>
      <c r="C17" s="11">
        <f>C16*(1+E3)</f>
        <v>267800</v>
      </c>
      <c r="D17" s="10">
        <f>E5*C17</f>
        <v>187460</v>
      </c>
      <c r="E17" s="11">
        <v>25000</v>
      </c>
      <c r="F17" s="10">
        <f>C9</f>
        <v>48895</v>
      </c>
      <c r="G17" s="10">
        <f t="shared" ref="G17:G20" si="0">C17-D17-E17-F17</f>
        <v>6445</v>
      </c>
      <c r="H17" s="10">
        <f>G17*E$7</f>
        <v>2578</v>
      </c>
      <c r="I17" s="10">
        <f t="shared" ref="I17:I20" si="1">G17-H17</f>
        <v>3867</v>
      </c>
    </row>
    <row r="18" spans="1:9" x14ac:dyDescent="0.55000000000000004">
      <c r="B18" s="11" t="s">
        <v>27</v>
      </c>
      <c r="C18" s="11">
        <f>C17*(1+E3)</f>
        <v>275834</v>
      </c>
      <c r="D18" s="10">
        <f>E5*C18</f>
        <v>193083.8</v>
      </c>
      <c r="E18" s="11">
        <v>25000</v>
      </c>
      <c r="F18" s="10">
        <f>C10</f>
        <v>16291.000000000002</v>
      </c>
      <c r="G18" s="10">
        <f t="shared" si="0"/>
        <v>41459.200000000012</v>
      </c>
      <c r="H18" s="10">
        <f>G18*E$7</f>
        <v>16583.680000000004</v>
      </c>
      <c r="I18" s="10">
        <f t="shared" si="1"/>
        <v>24875.520000000008</v>
      </c>
    </row>
    <row r="19" spans="1:9" x14ac:dyDescent="0.55000000000000004">
      <c r="B19" s="11" t="s">
        <v>28</v>
      </c>
      <c r="C19" s="11">
        <f>C18*(1+E3)</f>
        <v>284109.02</v>
      </c>
      <c r="D19" s="10">
        <f>E5*C19</f>
        <v>198876.31400000001</v>
      </c>
      <c r="E19" s="11">
        <v>25000</v>
      </c>
      <c r="F19" s="10">
        <f>C11</f>
        <v>8151</v>
      </c>
      <c r="G19" s="10">
        <f t="shared" si="0"/>
        <v>52081.706000000006</v>
      </c>
      <c r="H19" s="10">
        <f>G19*E$7</f>
        <v>20832.682400000005</v>
      </c>
      <c r="I19" s="10">
        <f t="shared" si="1"/>
        <v>31249.0236</v>
      </c>
    </row>
    <row r="20" spans="1:9" x14ac:dyDescent="0.55000000000000004">
      <c r="B20" s="11" t="s">
        <v>29</v>
      </c>
      <c r="C20" s="11">
        <f>C19*(1+E3)</f>
        <v>292632.29060000001</v>
      </c>
      <c r="D20" s="10">
        <f>E5*C20</f>
        <v>204842.60342</v>
      </c>
      <c r="E20" s="11">
        <v>25000</v>
      </c>
      <c r="F20" s="10">
        <f>C12</f>
        <v>0</v>
      </c>
      <c r="G20" s="10">
        <f t="shared" si="0"/>
        <v>62789.687180000008</v>
      </c>
      <c r="H20" s="10">
        <f>G20*E$7</f>
        <v>25115.874872000004</v>
      </c>
      <c r="I20" s="10">
        <f t="shared" si="1"/>
        <v>37673.812308000008</v>
      </c>
    </row>
    <row r="23" spans="1:9" x14ac:dyDescent="0.55000000000000004">
      <c r="A23" t="s">
        <v>16</v>
      </c>
      <c r="B23" s="1" t="s">
        <v>17</v>
      </c>
      <c r="C23" s="4">
        <f>B3+E6</f>
        <v>130000</v>
      </c>
    </row>
    <row r="25" spans="1:9" x14ac:dyDescent="0.55000000000000004">
      <c r="A25" t="s">
        <v>30</v>
      </c>
      <c r="B25" s="1" t="s">
        <v>31</v>
      </c>
      <c r="C25" s="5">
        <v>1</v>
      </c>
      <c r="D25" t="s">
        <v>33</v>
      </c>
      <c r="E25" s="1">
        <f>B1*E7 - 0</f>
        <v>40000</v>
      </c>
    </row>
    <row r="26" spans="1:9" x14ac:dyDescent="0.55000000000000004">
      <c r="B26" s="1" t="s">
        <v>32</v>
      </c>
      <c r="C26">
        <v>0</v>
      </c>
      <c r="D26" t="s">
        <v>34</v>
      </c>
      <c r="E26">
        <v>0</v>
      </c>
    </row>
    <row r="27" spans="1:9" x14ac:dyDescent="0.55000000000000004">
      <c r="C27" t="s">
        <v>35</v>
      </c>
      <c r="D27" s="4">
        <f>E25-(E25*E7)</f>
        <v>24000</v>
      </c>
    </row>
    <row r="28" spans="1:9" x14ac:dyDescent="0.55000000000000004">
      <c r="B28" s="1" t="s">
        <v>36</v>
      </c>
      <c r="D28" s="1">
        <v>44000</v>
      </c>
    </row>
    <row r="30" spans="1:9" x14ac:dyDescent="0.55000000000000004">
      <c r="A30" t="s">
        <v>37</v>
      </c>
      <c r="B30" s="1" t="s">
        <v>38</v>
      </c>
      <c r="C30" s="6">
        <f>NPV(E8,F32:F36) - F31</f>
        <v>329819.79442595766</v>
      </c>
      <c r="E30" s="8" t="s">
        <v>43</v>
      </c>
      <c r="F30" s="8" t="s">
        <v>39</v>
      </c>
    </row>
    <row r="31" spans="1:9" x14ac:dyDescent="0.55000000000000004">
      <c r="E31" s="8" t="s">
        <v>40</v>
      </c>
      <c r="F31" s="10">
        <f>-(B1+B2+E6)</f>
        <v>-130000</v>
      </c>
    </row>
    <row r="32" spans="1:9" x14ac:dyDescent="0.55000000000000004">
      <c r="E32" s="8" t="s">
        <v>18</v>
      </c>
      <c r="F32" s="10">
        <f>I16+F16</f>
        <v>46465.2</v>
      </c>
    </row>
    <row r="33" spans="1:12" x14ac:dyDescent="0.55000000000000004">
      <c r="E33" s="8" t="s">
        <v>26</v>
      </c>
      <c r="F33" s="10">
        <f t="shared" ref="F33:F36" si="2">I17+F17</f>
        <v>52762</v>
      </c>
    </row>
    <row r="34" spans="1:12" x14ac:dyDescent="0.55000000000000004">
      <c r="E34" s="8" t="s">
        <v>27</v>
      </c>
      <c r="F34" s="10">
        <f t="shared" si="2"/>
        <v>41166.520000000011</v>
      </c>
    </row>
    <row r="35" spans="1:12" x14ac:dyDescent="0.55000000000000004">
      <c r="E35" s="8" t="s">
        <v>28</v>
      </c>
      <c r="F35" s="10">
        <f t="shared" si="2"/>
        <v>39400.0236</v>
      </c>
    </row>
    <row r="36" spans="1:12" x14ac:dyDescent="0.55000000000000004">
      <c r="E36" s="8" t="s">
        <v>29</v>
      </c>
      <c r="F36" s="10">
        <f>I20+F20 + D28</f>
        <v>81673.812308000008</v>
      </c>
    </row>
    <row r="37" spans="1:12" x14ac:dyDescent="0.55000000000000004">
      <c r="B37" s="1" t="s">
        <v>41</v>
      </c>
      <c r="C37" s="4">
        <f>(C30-F31)/-F31</f>
        <v>3.5370753417381358</v>
      </c>
    </row>
    <row r="38" spans="1:12" x14ac:dyDescent="0.55000000000000004">
      <c r="L38" t="s">
        <v>38</v>
      </c>
    </row>
    <row r="39" spans="1:12" x14ac:dyDescent="0.55000000000000004">
      <c r="A39" t="s">
        <v>42</v>
      </c>
      <c r="B39" s="11" t="s">
        <v>44</v>
      </c>
      <c r="C39" s="8" t="s">
        <v>10</v>
      </c>
      <c r="D39" s="8" t="s">
        <v>45</v>
      </c>
      <c r="E39" s="13" t="s">
        <v>46</v>
      </c>
      <c r="F39" s="7" t="s">
        <v>38</v>
      </c>
      <c r="G39" s="7"/>
      <c r="I39" t="s">
        <v>47</v>
      </c>
    </row>
    <row r="40" spans="1:12" x14ac:dyDescent="0.55000000000000004">
      <c r="B40" s="11" t="s">
        <v>47</v>
      </c>
      <c r="C40" s="12">
        <v>7.0000000000000007E-2</v>
      </c>
      <c r="D40" s="12">
        <v>0.05</v>
      </c>
      <c r="E40" s="14">
        <v>0.25</v>
      </c>
      <c r="F40" s="15">
        <v>58000</v>
      </c>
      <c r="G40" s="7"/>
      <c r="I40" t="s">
        <v>48</v>
      </c>
    </row>
    <row r="41" spans="1:12" x14ac:dyDescent="0.55000000000000004">
      <c r="B41" s="11" t="s">
        <v>48</v>
      </c>
      <c r="C41" s="12">
        <v>0.09</v>
      </c>
      <c r="D41" s="12">
        <v>0.03</v>
      </c>
      <c r="E41" s="14">
        <v>0.5</v>
      </c>
      <c r="F41" s="15">
        <v>45000</v>
      </c>
      <c r="G41" s="7"/>
      <c r="I41" t="s">
        <v>51</v>
      </c>
    </row>
    <row r="42" spans="1:12" x14ac:dyDescent="0.55000000000000004">
      <c r="B42" s="11" t="s">
        <v>49</v>
      </c>
      <c r="C42" s="12">
        <v>0.12</v>
      </c>
      <c r="D42" s="8">
        <v>0</v>
      </c>
      <c r="E42" s="14">
        <v>0.25</v>
      </c>
      <c r="F42" s="15">
        <v>29000</v>
      </c>
      <c r="G42" s="7"/>
    </row>
    <row r="44" spans="1:12" x14ac:dyDescent="0.55000000000000004">
      <c r="B44" s="1" t="s">
        <v>50</v>
      </c>
    </row>
  </sheetData>
  <scenarios current="1" sqref="L39:L41">
    <scenario name="Best" locked="1" count="2" user="Swastik Mallick" comment="Created by Swastik Mallick on 10/28/2025_x000a_Modified by Swastik Mallick on 10/28/2025">
      <inputCells r="J39" val="0.07"/>
      <inputCells r="K39" val="0.05"/>
    </scenario>
    <scenario name="Expected" locked="1" count="2" user="Swastik Mallick" comment="Created by Swastik Mallick on 10/28/2025_x000a_Modified by Swastik Mallick on 10/28/2025">
      <inputCells r="J40" val="0.09"/>
      <inputCells r="K40" val="0.03"/>
    </scenario>
    <scenario name="Worst" locked="1" count="2" user="Swastik Mallick" comment="Created by Swastik Mallick on 10/28/2025">
      <inputCells r="J41" val="0.12"/>
      <inputCells r="K41" val="0"/>
    </scenario>
  </scenario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Mallick</dc:creator>
  <cp:lastModifiedBy>Swastik Mallick</cp:lastModifiedBy>
  <dcterms:created xsi:type="dcterms:W3CDTF">2025-10-28T18:46:43Z</dcterms:created>
  <dcterms:modified xsi:type="dcterms:W3CDTF">2025-10-28T23:21:09Z</dcterms:modified>
</cp:coreProperties>
</file>