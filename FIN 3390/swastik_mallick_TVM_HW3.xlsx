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8_{E18B941F-0F85-4E18-8DAA-65D258C0CA05}" xr6:coauthVersionLast="47" xr6:coauthVersionMax="47" xr10:uidLastSave="{00000000-0000-0000-0000-000000000000}"/>
  <bookViews>
    <workbookView xWindow="-78" yWindow="0" windowWidth="15348" windowHeight="12318" xr2:uid="{656BA94C-187E-4095-9C1C-E5D18D399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6" i="1"/>
  <c r="C25" i="1"/>
  <c r="E20" i="1"/>
  <c r="I21" i="1" s="1"/>
  <c r="I22" i="1" s="1"/>
  <c r="L21" i="1"/>
  <c r="L20" i="1"/>
  <c r="I20" i="1"/>
  <c r="C22" i="1"/>
  <c r="C21" i="1"/>
  <c r="D16" i="1"/>
  <c r="D11" i="1"/>
  <c r="D4" i="1"/>
</calcChain>
</file>

<file path=xl/sharedStrings.xml><?xml version="1.0" encoding="utf-8"?>
<sst xmlns="http://schemas.openxmlformats.org/spreadsheetml/2006/main" count="33" uniqueCount="33">
  <si>
    <t>What is the maximum you would pay for this investment if your opportunity cost is 12%?</t>
  </si>
  <si>
    <t>If you pay $70,000 for such an investment, rate of return would you be earning?</t>
  </si>
  <si>
    <t>You are considering an investment that will pay you $12,000 the first year, $13,000 the second year, $17,000 the third year, $19,000 the fourth year, $23,000 the fifth year, and $28,000 the sixth year (all payments are at the end of each year).</t>
  </si>
  <si>
    <t>You are considering an investment that will pay you $12,000 the first year, $13,000 the second year, $17,000 the third year, $19,000 the fourth year, $23,000 the fifth year, and $28,000 the sixth year.</t>
  </si>
  <si>
    <t>How much would you be willing to pay for an investment that will pay you and your heirs $16,000 each year in perpetuity if your opportunity cost is 6%?</t>
  </si>
  <si>
    <t>You are taking $800,000 mortgage loan to buy a property. The loan term is 30 years, 7% interest rate, and payments are made monthly. Construct an amortization schedule. Calculate the principal paid and interest paid during first 10 years without using the values from amortization schedule.</t>
  </si>
  <si>
    <t>Bonous</t>
  </si>
  <si>
    <t>y3</t>
  </si>
  <si>
    <t>y2</t>
  </si>
  <si>
    <t>y1</t>
  </si>
  <si>
    <t>y4</t>
  </si>
  <si>
    <t>y5</t>
  </si>
  <si>
    <t>y6</t>
  </si>
  <si>
    <t>y0</t>
  </si>
  <si>
    <t>NPV(12%, H25:H30)</t>
  </si>
  <si>
    <t>IRR(H24:H30)</t>
  </si>
  <si>
    <t>PV = C/r</t>
  </si>
  <si>
    <t>Morg</t>
  </si>
  <si>
    <t>N</t>
  </si>
  <si>
    <t>r</t>
  </si>
  <si>
    <t>PMT(.5%, 360, 800000)</t>
  </si>
  <si>
    <t>Morg * r</t>
  </si>
  <si>
    <t>Interest =</t>
  </si>
  <si>
    <t>Principle =</t>
  </si>
  <si>
    <t>PMT * Inter</t>
  </si>
  <si>
    <t>End Balance</t>
  </si>
  <si>
    <t>cumprin</t>
  </si>
  <si>
    <t>cumpmt</t>
  </si>
  <si>
    <t>Rework 1 assuming 11% daily compounding</t>
  </si>
  <si>
    <t>Rework 3, if pmts grow by 2% indefinitely, first pmt is 16000 in year 1</t>
  </si>
  <si>
    <t>EAR  =</t>
  </si>
  <si>
    <t>NPV =</t>
  </si>
  <si>
    <t>PV = C1 / r -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</si>
</sst>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0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8" fontId="0" fillId="2" borderId="0" xfId="0" applyNumberFormat="1" applyFill="1"/>
    <xf numFmtId="9" fontId="0" fillId="0" borderId="0" xfId="0" applyNumberFormat="1"/>
    <xf numFmtId="9" fontId="0" fillId="2" borderId="0" xfId="0" applyNumberFormat="1" applyFill="1"/>
    <xf numFmtId="170" fontId="0" fillId="2" borderId="0" xfId="0" applyNumberFormat="1" applyFill="1"/>
    <xf numFmtId="44" fontId="0" fillId="2" borderId="0" xfId="1" applyFont="1" applyFill="1"/>
    <xf numFmtId="8" fontId="0" fillId="2" borderId="0" xfId="1" applyNumberFormat="1" applyFont="1" applyFill="1"/>
    <xf numFmtId="9" fontId="0" fillId="0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51CC-FCC7-4D31-BA4E-83E0A8D84912}">
  <dimension ref="A2:L30"/>
  <sheetViews>
    <sheetView tabSelected="1" zoomScale="95" workbookViewId="0">
      <selection activeCell="C29" sqref="C29"/>
    </sheetView>
  </sheetViews>
  <sheetFormatPr defaultRowHeight="14.4" x14ac:dyDescent="0.55000000000000004"/>
  <cols>
    <col min="2" max="2" width="10.9453125" customWidth="1"/>
    <col min="3" max="3" width="16.83984375" bestFit="1" customWidth="1"/>
    <col min="4" max="4" width="19.05078125" bestFit="1" customWidth="1"/>
    <col min="5" max="5" width="9.89453125" bestFit="1" customWidth="1"/>
    <col min="7" max="7" width="10.41796875" bestFit="1" customWidth="1"/>
    <col min="8" max="8" width="9.89453125" bestFit="1" customWidth="1"/>
    <col min="9" max="9" width="14.47265625" bestFit="1" customWidth="1"/>
    <col min="10" max="10" width="10.3125" bestFit="1" customWidth="1"/>
    <col min="12" max="12" width="11.89453125" bestFit="1" customWidth="1"/>
  </cols>
  <sheetData>
    <row r="2" spans="1:9" x14ac:dyDescent="0.55000000000000004">
      <c r="A2">
        <v>1</v>
      </c>
      <c r="B2" t="s">
        <v>2</v>
      </c>
    </row>
    <row r="3" spans="1:9" x14ac:dyDescent="0.55000000000000004">
      <c r="B3" t="s">
        <v>0</v>
      </c>
    </row>
    <row r="4" spans="1:9" x14ac:dyDescent="0.55000000000000004">
      <c r="C4" t="s">
        <v>14</v>
      </c>
      <c r="D4" s="1">
        <f>NPV(12%, H25:H30)</f>
        <v>72489.402899461507</v>
      </c>
    </row>
    <row r="8" spans="1:9" x14ac:dyDescent="0.55000000000000004">
      <c r="A8">
        <v>2</v>
      </c>
      <c r="B8" t="s">
        <v>3</v>
      </c>
    </row>
    <row r="9" spans="1:9" x14ac:dyDescent="0.55000000000000004">
      <c r="B9" t="s">
        <v>1</v>
      </c>
    </row>
    <row r="10" spans="1:9" x14ac:dyDescent="0.55000000000000004">
      <c r="I10" s="2"/>
    </row>
    <row r="11" spans="1:9" x14ac:dyDescent="0.55000000000000004">
      <c r="C11" t="s">
        <v>15</v>
      </c>
      <c r="D11" s="3">
        <f>IRR(H24:H30)</f>
        <v>0.13074133741746685</v>
      </c>
    </row>
    <row r="14" spans="1:9" x14ac:dyDescent="0.55000000000000004">
      <c r="A14">
        <v>3</v>
      </c>
      <c r="B14" t="s">
        <v>4</v>
      </c>
    </row>
    <row r="16" spans="1:9" x14ac:dyDescent="0.55000000000000004">
      <c r="C16" t="s">
        <v>16</v>
      </c>
      <c r="D16" s="4">
        <f>16000/0.06</f>
        <v>266666.66666666669</v>
      </c>
    </row>
    <row r="19" spans="1:12" x14ac:dyDescent="0.55000000000000004">
      <c r="A19">
        <v>4</v>
      </c>
      <c r="B19" t="s">
        <v>5</v>
      </c>
    </row>
    <row r="20" spans="1:12" x14ac:dyDescent="0.55000000000000004">
      <c r="B20" t="s">
        <v>17</v>
      </c>
      <c r="C20">
        <v>800000</v>
      </c>
      <c r="D20" t="s">
        <v>20</v>
      </c>
      <c r="E20" s="1">
        <f>PMT(C22,C21,-C20)</f>
        <v>5322.4199614334657</v>
      </c>
      <c r="G20" t="s">
        <v>22</v>
      </c>
      <c r="H20" t="s">
        <v>21</v>
      </c>
      <c r="I20" s="5">
        <f>800000*(7%/12)</f>
        <v>4666.666666666667</v>
      </c>
      <c r="K20" t="s">
        <v>26</v>
      </c>
      <c r="L20" s="5">
        <f>-CUMPRINC(C22, C21, C20, 1, 120, 0)</f>
        <v>113500.93274861814</v>
      </c>
    </row>
    <row r="21" spans="1:12" x14ac:dyDescent="0.55000000000000004">
      <c r="B21" t="s">
        <v>18</v>
      </c>
      <c r="C21">
        <f>30*12</f>
        <v>360</v>
      </c>
      <c r="G21" t="s">
        <v>23</v>
      </c>
      <c r="H21" t="s">
        <v>24</v>
      </c>
      <c r="I21" s="6">
        <f>E20-I20</f>
        <v>655.75329476679872</v>
      </c>
      <c r="K21" t="s">
        <v>27</v>
      </c>
      <c r="L21" s="5">
        <f>-CUMIPMT(C22, C21, C20, 1, 120, 0)</f>
        <v>525189.4626233977</v>
      </c>
    </row>
    <row r="22" spans="1:12" x14ac:dyDescent="0.55000000000000004">
      <c r="B22" t="s">
        <v>19</v>
      </c>
      <c r="C22">
        <f>0.07/12</f>
        <v>5.8333333333333336E-3</v>
      </c>
      <c r="G22" t="s">
        <v>25</v>
      </c>
      <c r="I22" s="1">
        <f>C20-I21</f>
        <v>799344.24670523324</v>
      </c>
    </row>
    <row r="24" spans="1:12" x14ac:dyDescent="0.55000000000000004">
      <c r="A24" t="s">
        <v>6</v>
      </c>
      <c r="B24" t="s">
        <v>28</v>
      </c>
      <c r="G24" t="s">
        <v>13</v>
      </c>
      <c r="H24">
        <v>-70000</v>
      </c>
    </row>
    <row r="25" spans="1:12" x14ac:dyDescent="0.55000000000000004">
      <c r="B25" t="s">
        <v>30</v>
      </c>
      <c r="C25" s="7">
        <f>(1+11%/365)^365-1</f>
        <v>0.11625957163740264</v>
      </c>
      <c r="G25" t="s">
        <v>9</v>
      </c>
      <c r="H25">
        <v>12000</v>
      </c>
    </row>
    <row r="26" spans="1:12" x14ac:dyDescent="0.55000000000000004">
      <c r="B26" t="s">
        <v>31</v>
      </c>
      <c r="C26" s="1">
        <f>NPV(C25, H25:H30)</f>
        <v>73387.31383556436</v>
      </c>
      <c r="G26" t="s">
        <v>8</v>
      </c>
      <c r="H26">
        <v>13000</v>
      </c>
    </row>
    <row r="27" spans="1:12" x14ac:dyDescent="0.55000000000000004">
      <c r="B27" t="s">
        <v>29</v>
      </c>
      <c r="G27" t="s">
        <v>7</v>
      </c>
      <c r="H27">
        <v>17000</v>
      </c>
    </row>
    <row r="28" spans="1:12" x14ac:dyDescent="0.55000000000000004">
      <c r="G28" t="s">
        <v>10</v>
      </c>
      <c r="H28">
        <v>19000</v>
      </c>
    </row>
    <row r="29" spans="1:12" x14ac:dyDescent="0.55000000000000004">
      <c r="B29" t="s">
        <v>32</v>
      </c>
      <c r="C29" s="5">
        <f>16000/(6%-2%)</f>
        <v>400000.00000000006</v>
      </c>
      <c r="G29" t="s">
        <v>11</v>
      </c>
      <c r="H29">
        <v>23000</v>
      </c>
    </row>
    <row r="30" spans="1:12" x14ac:dyDescent="0.55000000000000004">
      <c r="G30" t="s">
        <v>12</v>
      </c>
      <c r="H30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2025-09-23T20:15:15Z</dcterms:created>
  <dcterms:modified xsi:type="dcterms:W3CDTF">2025-09-23T21:58:22Z</dcterms:modified>
</cp:coreProperties>
</file>