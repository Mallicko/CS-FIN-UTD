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8_{C7DE79F4-2335-4445-8D74-D70E1B8D2066}" xr6:coauthVersionLast="47" xr6:coauthVersionMax="47" xr10:uidLastSave="{00000000-0000-0000-0000-000000000000}"/>
  <bookViews>
    <workbookView xWindow="-78" yWindow="0" windowWidth="11676" windowHeight="12318" xr2:uid="{53F5DDEE-EDB1-4773-A3BB-F4CA61FA4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M9" i="1"/>
  <c r="M22" i="1"/>
  <c r="M23" i="1"/>
  <c r="M18" i="1"/>
  <c r="M16" i="1"/>
  <c r="M10" i="1"/>
  <c r="M12" i="1"/>
  <c r="M11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<sst xmlns="http://schemas.openxmlformats.org/spreadsheetml/2006/main" count="22" uniqueCount="19">
  <si>
    <t>q1</t>
  </si>
  <si>
    <t>FV</t>
  </si>
  <si>
    <t>n</t>
  </si>
  <si>
    <t>c</t>
  </si>
  <si>
    <t>r</t>
  </si>
  <si>
    <t>Coup Pay</t>
  </si>
  <si>
    <t>PV</t>
  </si>
  <si>
    <t>q2</t>
  </si>
  <si>
    <t>call date</t>
  </si>
  <si>
    <t>a)</t>
  </si>
  <si>
    <t>coup pay</t>
  </si>
  <si>
    <t>price</t>
  </si>
  <si>
    <t>YTM</t>
  </si>
  <si>
    <t>b)</t>
  </si>
  <si>
    <t>Current Yield</t>
  </si>
  <si>
    <t>c)</t>
  </si>
  <si>
    <t>YTC</t>
  </si>
  <si>
    <t>Call Price</t>
  </si>
  <si>
    <t>new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</si>
</sst>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9" fontId="0" fillId="0" borderId="0" xfId="1" applyFont="1"/>
    <xf numFmtId="9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</xdr:colOff>
      <xdr:row>0</xdr:row>
      <xdr:rowOff>0</xdr:rowOff>
    </xdr:from>
    <xdr:to>
      <xdr:col>9</xdr:col>
      <xdr:colOff>23360</xdr:colOff>
      <xdr:row>19</xdr:row>
      <xdr:rowOff>145094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4478E-4885-FB06-96BF-573C4851A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" y="0"/>
          <a:ext cx="5772650" cy="3619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274A-AC38-41D4-A1BD-350922A84D40}">
  <dimension ref="K1:M23"/>
  <sheetViews>
    <sheetView tabSelected="1" topLeftCell="I1" workbookViewId="0">
      <selection activeCell="M20" sqref="M20"/>
    </sheetView>
  </sheetViews>
  <sheetFormatPr defaultRowHeight="14.4" x14ac:dyDescent="0.55000000000000004"/>
  <cols>
    <col min="12" max="12" width="10.734375" bestFit="1" customWidth="1"/>
    <col min="13" max="13" width="10.3125" bestFit="1" customWidth="1"/>
  </cols>
  <sheetData>
    <row r="1" spans="11:13" x14ac:dyDescent="0.55000000000000004">
      <c r="K1" t="s">
        <v>0</v>
      </c>
      <c r="L1" t="s">
        <v>1</v>
      </c>
      <c r="M1">
        <v>10000</v>
      </c>
    </row>
    <row r="2" spans="11:13" x14ac:dyDescent="0.55000000000000004">
      <c r="L2" t="s">
        <v>2</v>
      </c>
      <c r="M2">
        <f>25*2</f>
        <v>50</v>
      </c>
    </row>
    <row r="3" spans="11:13" x14ac:dyDescent="0.55000000000000004">
      <c r="L3" t="s">
        <v>3</v>
      </c>
      <c r="M3" s="1">
        <f>7%/2</f>
        <v>3.5000000000000003E-2</v>
      </c>
    </row>
    <row r="4" spans="11:13" x14ac:dyDescent="0.55000000000000004">
      <c r="L4" t="s">
        <v>4</v>
      </c>
      <c r="M4" s="2">
        <f>5.8%/2</f>
        <v>2.8999999999999998E-2</v>
      </c>
    </row>
    <row r="5" spans="11:13" x14ac:dyDescent="0.55000000000000004">
      <c r="L5" t="s">
        <v>5</v>
      </c>
      <c r="M5">
        <f>M1*M3</f>
        <v>350.00000000000006</v>
      </c>
    </row>
    <row r="6" spans="11:13" x14ac:dyDescent="0.55000000000000004">
      <c r="L6" t="s">
        <v>6</v>
      </c>
      <c r="M6" s="3">
        <f>PV(M4, M2, -M5, -M1)</f>
        <v>11573.532992387507</v>
      </c>
    </row>
    <row r="8" spans="11:13" x14ac:dyDescent="0.55000000000000004">
      <c r="K8" t="s">
        <v>7</v>
      </c>
      <c r="L8" t="s">
        <v>1</v>
      </c>
      <c r="M8">
        <v>250</v>
      </c>
    </row>
    <row r="9" spans="11:13" x14ac:dyDescent="0.55000000000000004">
      <c r="L9" t="s">
        <v>3</v>
      </c>
      <c r="M9" s="4">
        <f>7%/2</f>
        <v>3.5000000000000003E-2</v>
      </c>
    </row>
    <row r="10" spans="11:13" x14ac:dyDescent="0.55000000000000004">
      <c r="L10" t="s">
        <v>2</v>
      </c>
      <c r="M10" s="6">
        <f>(2058 - 2016) * 2</f>
        <v>84</v>
      </c>
    </row>
    <row r="11" spans="11:13" x14ac:dyDescent="0.55000000000000004">
      <c r="L11" t="s">
        <v>8</v>
      </c>
      <c r="M11">
        <f>2026.5 - 2016</f>
        <v>10.5</v>
      </c>
    </row>
    <row r="12" spans="11:13" x14ac:dyDescent="0.55000000000000004">
      <c r="L12" t="s">
        <v>10</v>
      </c>
      <c r="M12">
        <f>M8*M9</f>
        <v>8.75</v>
      </c>
    </row>
    <row r="13" spans="11:13" x14ac:dyDescent="0.55000000000000004">
      <c r="L13" t="s">
        <v>11</v>
      </c>
      <c r="M13">
        <v>300</v>
      </c>
    </row>
    <row r="16" spans="11:13" x14ac:dyDescent="0.55000000000000004">
      <c r="K16" t="s">
        <v>9</v>
      </c>
      <c r="L16" t="s">
        <v>12</v>
      </c>
      <c r="M16" s="4">
        <f>RATE(M10, -M12, M13, M8) * 2</f>
        <v>4.2094682210243997E-2</v>
      </c>
    </row>
    <row r="18" spans="11:13" x14ac:dyDescent="0.55000000000000004">
      <c r="K18" t="s">
        <v>13</v>
      </c>
      <c r="L18" t="s">
        <v>14</v>
      </c>
      <c r="M18" s="5">
        <f>(M8*M9*2)/M13</f>
        <v>5.8333333333333334E-2</v>
      </c>
    </row>
    <row r="20" spans="11:13" x14ac:dyDescent="0.55000000000000004">
      <c r="K20" t="s">
        <v>15</v>
      </c>
      <c r="L20" t="s">
        <v>16</v>
      </c>
      <c r="M20" s="4">
        <f>RATE(M23, M12, -M13, M22) * 2</f>
        <v>4.7787029666459355E-2</v>
      </c>
    </row>
    <row r="22" spans="11:13" x14ac:dyDescent="0.55000000000000004">
      <c r="L22" t="s">
        <v>17</v>
      </c>
      <c r="M22">
        <f>M8*(1+3%)</f>
        <v>257.5</v>
      </c>
    </row>
    <row r="23" spans="11:13" x14ac:dyDescent="0.55000000000000004">
      <c r="L23" t="s">
        <v>18</v>
      </c>
      <c r="M23">
        <f>M11*2</f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2025-11-04T23:09:16Z</dcterms:created>
  <dcterms:modified xsi:type="dcterms:W3CDTF">2025-11-05T00:09:37Z</dcterms:modified>
</cp:coreProperties>
</file>