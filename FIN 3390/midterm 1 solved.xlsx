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NI\Finance\FIN 3390\"/>
    </mc:Choice>
  </mc:AlternateContent>
  <xr:revisionPtr revIDLastSave="0" documentId="8_{EBADE1D6-F673-44B1-969B-BCDBCE8075A0}" xr6:coauthVersionLast="47" xr6:coauthVersionMax="47" xr10:uidLastSave="{00000000-0000-0000-0000-000000000000}"/>
  <bookViews>
    <workbookView xWindow="-38520" yWindow="-4425" windowWidth="38640" windowHeight="21840" xr2:uid="{3DA67F23-0E47-4559-A408-6F530CAF9EC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 r="I109" i="1"/>
  <c r="C107" i="1"/>
  <c r="F104" i="1"/>
  <c r="C104" i="1"/>
  <c r="F103" i="1"/>
  <c r="C105" i="1"/>
  <c r="C103" i="1"/>
  <c r="F98" i="1"/>
  <c r="I98" i="1"/>
  <c r="I99" i="1"/>
  <c r="C99" i="1"/>
  <c r="C98" i="1"/>
  <c r="F95" i="1"/>
  <c r="C95" i="1"/>
  <c r="F91" i="1"/>
  <c r="F89" i="1"/>
  <c r="C93" i="1" s="1"/>
  <c r="C91" i="1"/>
  <c r="C89" i="1"/>
  <c r="C87" i="1"/>
  <c r="C85" i="1"/>
  <c r="F85" i="1"/>
  <c r="F64" i="1"/>
  <c r="H61" i="1"/>
  <c r="F80" i="1" l="1"/>
  <c r="C81" i="1"/>
  <c r="C83" i="1"/>
  <c r="C82" i="1"/>
  <c r="F77" i="1"/>
  <c r="C79" i="1"/>
  <c r="C78" i="1"/>
  <c r="C75" i="1"/>
  <c r="G73" i="1"/>
  <c r="D73" i="1"/>
  <c r="G72" i="1"/>
  <c r="D72" i="1"/>
  <c r="D71" i="1"/>
  <c r="C59" i="1"/>
  <c r="F63" i="1"/>
  <c r="H25" i="1"/>
  <c r="H58" i="1"/>
  <c r="F58" i="1"/>
  <c r="H55" i="1"/>
  <c r="F55" i="1"/>
  <c r="C56" i="1"/>
  <c r="C55" i="1"/>
  <c r="H52" i="1"/>
  <c r="H49" i="1"/>
  <c r="H46" i="1"/>
  <c r="H43" i="1"/>
  <c r="H40" i="1"/>
  <c r="G37" i="1"/>
  <c r="F38" i="1"/>
  <c r="C38" i="1"/>
  <c r="F37" i="1"/>
  <c r="C25" i="1"/>
  <c r="H34" i="1"/>
  <c r="H31" i="1"/>
  <c r="H28" i="1"/>
  <c r="H23" i="1"/>
  <c r="H19" i="1"/>
  <c r="F23" i="1"/>
  <c r="F19" i="1"/>
  <c r="F16" i="1"/>
  <c r="C17" i="1"/>
  <c r="H16" i="1"/>
  <c r="H13" i="1"/>
  <c r="F13" i="1"/>
  <c r="H10" i="1"/>
  <c r="H7" i="1"/>
  <c r="H4" i="1"/>
  <c r="H1" i="1"/>
</calcChain>
</file>

<file path=xl/sharedStrings.xml><?xml version="1.0" encoding="utf-8"?>
<sst xmlns="http://schemas.openxmlformats.org/spreadsheetml/2006/main" count="170" uniqueCount="55">
  <si>
    <t>FV</t>
  </si>
  <si>
    <t>n</t>
  </si>
  <si>
    <t>i</t>
  </si>
  <si>
    <t>pv</t>
  </si>
  <si>
    <t>fv</t>
  </si>
  <si>
    <t xml:space="preserve">n </t>
  </si>
  <si>
    <t xml:space="preserve">fv </t>
  </si>
  <si>
    <t>EAR</t>
  </si>
  <si>
    <t xml:space="preserve">pmt </t>
  </si>
  <si>
    <t>discount rate</t>
  </si>
  <si>
    <t>pmt</t>
  </si>
  <si>
    <t>rate</t>
  </si>
  <si>
    <t>y1</t>
  </si>
  <si>
    <t>y2</t>
  </si>
  <si>
    <t>y3</t>
  </si>
  <si>
    <t>y4</t>
  </si>
  <si>
    <t>y5</t>
  </si>
  <si>
    <t>y6</t>
  </si>
  <si>
    <t>dis rate</t>
  </si>
  <si>
    <t>NPV</t>
  </si>
  <si>
    <t>Annuity 1</t>
  </si>
  <si>
    <t>pv 0</t>
  </si>
  <si>
    <t>pv 10</t>
  </si>
  <si>
    <t>&gt;</t>
  </si>
  <si>
    <t>pv 20</t>
  </si>
  <si>
    <t>.</t>
  </si>
  <si>
    <t>Annuity 2</t>
  </si>
  <si>
    <t>Annuity 3</t>
  </si>
  <si>
    <t>T PV</t>
  </si>
  <si>
    <t>after</t>
  </si>
  <si>
    <t>pv 3</t>
  </si>
  <si>
    <t>Principal paid</t>
  </si>
  <si>
    <t>NPV (ear)</t>
  </si>
  <si>
    <t>cf1</t>
  </si>
  <si>
    <t>cf2</t>
  </si>
  <si>
    <t>cf3</t>
  </si>
  <si>
    <t xml:space="preserve">pv 0 </t>
  </si>
  <si>
    <t>ov 0</t>
  </si>
  <si>
    <t>1 -- 9</t>
  </si>
  <si>
    <t>10 -- 20</t>
  </si>
  <si>
    <t>21 -- 34</t>
  </si>
  <si>
    <t>pv 9</t>
  </si>
  <si>
    <t>1--7</t>
  </si>
  <si>
    <t>8--18</t>
  </si>
  <si>
    <t>19--34</t>
  </si>
  <si>
    <t xml:space="preserve">T PV </t>
  </si>
  <si>
    <t>fv 27</t>
  </si>
  <si>
    <t>7 to 34 = 27</t>
  </si>
  <si>
    <t>fv 7</t>
  </si>
  <si>
    <t>fv 18</t>
  </si>
  <si>
    <t>18 to 34 = 16</t>
  </si>
  <si>
    <t>fv 16</t>
  </si>
  <si>
    <t>fv 34</t>
  </si>
  <si>
    <t>pmt 34</t>
  </si>
  <si>
    <t>pv 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</si>
</sst>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94" formatCode="0.0000%"/>
  </numFmts>
  <fonts count="3" x14ac:knownFonts="1">
    <font>
      <sz val="11"/>
      <color theme="1"/>
      <name val="Aptos Narrow"/>
      <family val="2"/>
      <scheme val="minor"/>
    </font>
    <font>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9" fontId="0" fillId="0" borderId="0" xfId="0" applyNumberFormat="1"/>
    <xf numFmtId="8" fontId="0" fillId="0" borderId="0" xfId="0" applyNumberFormat="1"/>
    <xf numFmtId="8" fontId="0" fillId="2" borderId="0" xfId="0" applyNumberFormat="1" applyFill="1"/>
    <xf numFmtId="2" fontId="0" fillId="2" borderId="0" xfId="0" applyNumberFormat="1" applyFill="1"/>
    <xf numFmtId="9" fontId="0" fillId="2" borderId="0" xfId="0" applyNumberFormat="1" applyFill="1"/>
    <xf numFmtId="9" fontId="0" fillId="0" borderId="0" xfId="1" applyFont="1"/>
    <xf numFmtId="10" fontId="0" fillId="2" borderId="0" xfId="0" applyNumberFormat="1" applyFill="1"/>
    <xf numFmtId="10" fontId="0" fillId="2" borderId="0" xfId="1" applyNumberFormat="1" applyFont="1" applyFill="1"/>
    <xf numFmtId="10" fontId="0" fillId="0" borderId="0" xfId="0" applyNumberFormat="1"/>
    <xf numFmtId="194" fontId="0" fillId="2" borderId="0" xfId="1" applyNumberFormat="1" applyFont="1" applyFill="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14</xdr:col>
      <xdr:colOff>123825</xdr:colOff>
      <xdr:row>0</xdr:row>
      <xdr:rowOff>161925</xdr:rowOff>
    </xdr:from>
    <xdr:to>
      <xdr:col>21</xdr:col>
      <xdr:colOff>628887</xdr:colOff>
      <xdr:row>129</xdr:row>
      <xdr:rowOff>46793</xdr:rowOff>
    </xdr:to>
    <xdr:sp macro="" textlink="">
      <xdr:nvSpPr>
        <xdr:cNvPr id="2" name="TextBox 1">
          <a:extLst>
            <a:ext uri="{FF2B5EF4-FFF2-40B4-BE49-F238E27FC236}">
              <a16:creationId xmlns:a16="http://schemas.microsoft.com/office/drawing/2014/main" id="{4A4DAAC3-63FC-4603-A7E4-0CEF62958658}"/>
            </a:ext>
          </a:extLst>
        </xdr:cNvPr>
        <xdr:cNvSpPr txBox="1"/>
      </xdr:nvSpPr>
      <xdr:spPr>
        <a:xfrm>
          <a:off x="11115675" y="161925"/>
          <a:ext cx="4972287" cy="232306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u="none"/>
            <a:t>Time Value of Money - Sample Problems </a:t>
          </a:r>
        </a:p>
        <a:p>
          <a:r>
            <a:rPr lang="en-US" b="0" u="none"/>
            <a:t>1. If you wish to accumulate $140,000 in 13 years, how much must you deposit today in an account that pays an annual interest rate of 14%? </a:t>
          </a:r>
        </a:p>
        <a:p>
          <a:endParaRPr lang="en-US" b="0" u="none"/>
        </a:p>
        <a:p>
          <a:r>
            <a:rPr lang="en-US" b="0" u="none"/>
            <a:t>2. What will $247,000 grow to be in 9 years if it is invested today in an account with an annual interest rate of 11%?  </a:t>
          </a:r>
        </a:p>
        <a:p>
          <a:endParaRPr lang="en-US" b="0" u="none"/>
        </a:p>
        <a:p>
          <a:r>
            <a:rPr lang="en-US" b="0" u="none"/>
            <a:t>3. How many years will it take for $136,000 to grow to be $468,000 if it is invested in an account with an annual interest rate of 8%?</a:t>
          </a:r>
          <a:r>
            <a:rPr lang="en-US" b="1" u="sng"/>
            <a:t>Lump Sum,</a:t>
          </a:r>
          <a:r>
            <a:rPr lang="en-US" b="1" u="sng" baseline="0"/>
            <a:t> find n</a:t>
          </a:r>
          <a:endParaRPr lang="en-US" b="0" u="none"/>
        </a:p>
        <a:p>
          <a:endParaRPr lang="en-US" b="0" u="none"/>
        </a:p>
        <a:p>
          <a:r>
            <a:rPr lang="en-US" b="0" u="none"/>
            <a:t>4. At what annual interest rate must </a:t>
          </a:r>
          <a:r>
            <a:rPr lang="en-US" b="1" u="sng"/>
            <a:t>PV=</a:t>
          </a:r>
          <a:r>
            <a:rPr lang="en-US" b="0" u="none"/>
            <a:t>$137,000 be invested so that it will grow to be</a:t>
          </a:r>
          <a:r>
            <a:rPr lang="en-US" b="1" u="sng"/>
            <a:t>FV=</a:t>
          </a:r>
          <a:r>
            <a:rPr lang="en-US" b="0" u="none"/>
            <a:t> $475,000 in </a:t>
          </a:r>
          <a:r>
            <a:rPr lang="en-US" b="1" u="sng"/>
            <a:t>n=</a:t>
          </a:r>
          <a:r>
            <a:rPr lang="en-US" b="0" u="none"/>
            <a:t>14 years? </a:t>
          </a:r>
          <a:r>
            <a:rPr lang="en-US" b="1" i="1" u="none"/>
            <a:t>Find i</a:t>
          </a:r>
          <a:endParaRPr lang="en-US" b="0" u="none"/>
        </a:p>
        <a:p>
          <a:endParaRPr lang="en-US" b="0" u="none"/>
        </a:p>
        <a:p>
          <a:r>
            <a:rPr lang="en-US" b="0" u="none"/>
            <a:t>5. If you wish to accumulate $197,000 in 5 years, how much must you deposit today in an account that pays a quoted annual interest rate of 13% with </a:t>
          </a:r>
          <a:r>
            <a:rPr lang="en-US" b="1" u="sng"/>
            <a:t>semi-annual compounding </a:t>
          </a:r>
          <a:r>
            <a:rPr lang="en-US" b="0" u="none"/>
            <a:t>of interest?</a:t>
          </a:r>
        </a:p>
        <a:p>
          <a:endParaRPr lang="en-US" b="0" u="none"/>
        </a:p>
        <a:p>
          <a:r>
            <a:rPr lang="en-US" b="0" u="none"/>
            <a:t>6. What will $153,000 grow to be in 13 years if it is invested today in an account with a quoted annual interest rate of 10% with </a:t>
          </a:r>
          <a:r>
            <a:rPr lang="en-US" b="1" u="sng"/>
            <a:t>monthly compounding </a:t>
          </a:r>
          <a:r>
            <a:rPr lang="en-US" b="0" u="none"/>
            <a:t>of interest? </a:t>
          </a:r>
          <a:r>
            <a:rPr lang="en-US" b="1" u="sng"/>
            <a:t> Find FV</a:t>
          </a:r>
          <a:endParaRPr lang="en-US" b="0" u="none"/>
        </a:p>
        <a:p>
          <a:endParaRPr lang="en-US" b="0" u="none"/>
        </a:p>
        <a:p>
          <a:r>
            <a:rPr lang="en-US" b="0" u="none"/>
            <a:t>7. How many years will it take for $197,000 to grow to be $554,000 if it is invested in an account with a quoted annual interest rate of 8% with </a:t>
          </a:r>
          <a:r>
            <a:rPr lang="en-US" b="1" u="sng"/>
            <a:t>monthly compounding </a:t>
          </a:r>
          <a:r>
            <a:rPr lang="en-US" b="0" u="none"/>
            <a:t>of interest? </a:t>
          </a:r>
        </a:p>
        <a:p>
          <a:endParaRPr lang="en-US" b="0" u="none"/>
        </a:p>
        <a:p>
          <a:r>
            <a:rPr lang="en-US" b="0" u="none"/>
            <a:t>8. At what quoted annual interest rate must $134,000 be invested so that it will grow to be $459,000 in 15 years if interest is </a:t>
          </a:r>
          <a:r>
            <a:rPr lang="en-US" b="1" u="sng"/>
            <a:t>compounded weekly</a:t>
          </a:r>
          <a:r>
            <a:rPr lang="en-US" b="0" u="none"/>
            <a:t>? </a:t>
          </a:r>
        </a:p>
        <a:p>
          <a:endParaRPr lang="en-US" b="0" u="none"/>
        </a:p>
        <a:p>
          <a:r>
            <a:rPr lang="en-US" b="0" u="none"/>
            <a:t>9. You are offered an investment with a quoted annual interest rate of 13% with quarterly compounding of interest. What is your effective annual interest rate? </a:t>
          </a:r>
        </a:p>
        <a:p>
          <a:endParaRPr lang="en-US" b="0" u="none"/>
        </a:p>
        <a:p>
          <a:r>
            <a:rPr lang="en-US" b="0" u="none"/>
            <a:t>10. You are offered an annuity that will pay pmt= $24,000 per year for 11 years (the first payment will occur one year from today). If you feel that the appropriate discount rate is 13%, what is the annuity worth to you today? </a:t>
          </a:r>
        </a:p>
        <a:p>
          <a:endParaRPr lang="en-US" b="0" u="none"/>
        </a:p>
        <a:p>
          <a:r>
            <a:rPr lang="en-US" b="0" u="none"/>
            <a:t>11. If you deposit $16,000 per year for 12 years (each deposit is made at the end of each year) in an account that pays an annual interest rate of 14%, what will your account be worth at the end of 12 years? </a:t>
          </a:r>
          <a:r>
            <a:rPr lang="en-US" b="1" u="sng"/>
            <a:t>Ordinary Annuity, Find FV</a:t>
          </a:r>
          <a:endParaRPr lang="en-US" b="0" u="none"/>
        </a:p>
        <a:p>
          <a:endParaRPr lang="en-US" b="0" u="none"/>
        </a:p>
        <a:p>
          <a:r>
            <a:rPr lang="en-US" b="0" u="none"/>
            <a:t>12. You plan to borrow $389,000 now and repay it in 25 equal annual installments (payments will be made at the end of each year). If the annual interest rate is 14%, how much will your annual payments be? </a:t>
          </a:r>
        </a:p>
        <a:p>
          <a:endParaRPr lang="en-US" b="0" u="none"/>
        </a:p>
        <a:p>
          <a:r>
            <a:rPr lang="en-US" sz="1100" b="1">
              <a:solidFill>
                <a:schemeClr val="dk1"/>
              </a:solidFill>
              <a:effectLst/>
              <a:latin typeface="+mn-lt"/>
              <a:ea typeface="+mn-ea"/>
              <a:cs typeface="+mn-cs"/>
            </a:rPr>
            <a:t>You plan to borrow $389,000 now and repay it in 25 equal annual installments (payments will be made at the end of each year). If the annual interest rate is 14% compunded monthly, how much will your annual payments be? </a:t>
          </a:r>
          <a:endParaRPr lang="en-US" b="1" u="none"/>
        </a:p>
        <a:p>
          <a:endParaRPr lang="en-US" b="0" u="none"/>
        </a:p>
        <a:p>
          <a:r>
            <a:rPr lang="en-US" b="0" u="none"/>
            <a:t>13. You are told that if you invest $11,000 per year for 23 years (all payments made at the end of each year) you will have accumulated $366,000 at the end of the period. What annual rate of return is the investment offering? </a:t>
          </a:r>
          <a:r>
            <a:rPr lang="en-US" b="1" u="none"/>
            <a:t>Find</a:t>
          </a:r>
          <a:r>
            <a:rPr lang="en-US" b="1" u="none" baseline="0"/>
            <a:t> rate for ordinary Annuity</a:t>
          </a:r>
          <a:endParaRPr lang="en-US" b="0" u="none"/>
        </a:p>
        <a:p>
          <a:endParaRPr lang="en-US" b="0" u="none"/>
        </a:p>
        <a:p>
          <a:r>
            <a:rPr lang="en-US" b="0" u="none"/>
            <a:t>14. You are offered an annuity that will pay $17,000 per year for 7 years (the first payment will be </a:t>
          </a:r>
          <a:r>
            <a:rPr lang="en-US" b="1" u="sng"/>
            <a:t>made today</a:t>
          </a:r>
          <a:r>
            <a:rPr lang="en-US" b="0" u="none"/>
            <a:t>). If you feel that the appropriate discount rate is 11%, what is the annuity worth to you today? </a:t>
          </a:r>
          <a:r>
            <a:rPr lang="en-US" b="1" u="sng"/>
            <a:t>Annuity Due</a:t>
          </a:r>
          <a:endParaRPr lang="en-US" b="0" u="none"/>
        </a:p>
        <a:p>
          <a:endParaRPr lang="en-US" b="0" u="none"/>
        </a:p>
        <a:p>
          <a:r>
            <a:rPr lang="en-US" b="0" u="none"/>
            <a:t>15. If you deposit $15,000 per year for 9 years (each deposit is made at the </a:t>
          </a:r>
          <a:r>
            <a:rPr lang="en-US" b="1" u="sng"/>
            <a:t>beginning of each year</a:t>
          </a:r>
          <a:r>
            <a:rPr lang="en-US" b="0" u="none"/>
            <a:t>) in an account that pays an annual interest rate of 8%, what will your account be worth at the end of 9 years? </a:t>
          </a:r>
          <a:r>
            <a:rPr lang="en-US" b="1" u="sng"/>
            <a:t>Annuity Due, Find FV</a:t>
          </a:r>
          <a:endParaRPr lang="en-US" b="0" u="none"/>
        </a:p>
        <a:p>
          <a:endParaRPr lang="en-US" b="0" u="none"/>
        </a:p>
        <a:p>
          <a:r>
            <a:rPr lang="en-US" b="0" u="none"/>
            <a:t>16. You plan to accumulate $450,000 over a period of 12 years by making equal annual deposits in an account that pays an annual interest rate of 9% (assume all payments will occur at the </a:t>
          </a:r>
          <a:r>
            <a:rPr lang="en-US" b="1" u="sng"/>
            <a:t>beginning</a:t>
          </a:r>
          <a:r>
            <a:rPr lang="en-US" b="0" u="none"/>
            <a:t> of each year). What amount must you deposit each year to reach your goal?</a:t>
          </a:r>
          <a:r>
            <a:rPr lang="en-US" b="0" u="none" baseline="0"/>
            <a:t> </a:t>
          </a:r>
          <a:r>
            <a:rPr lang="en-US" b="1" u="sng" baseline="0"/>
            <a:t>Annuity Due, find pmt</a:t>
          </a:r>
          <a:endParaRPr lang="en-US" b="0" u="none"/>
        </a:p>
        <a:p>
          <a:endParaRPr lang="en-US" b="0" u="none"/>
        </a:p>
        <a:p>
          <a:r>
            <a:rPr lang="en-US" b="0" u="none"/>
            <a:t>17. You are told that if you invest $11,100 per year for 19 years (all payments made at the beginning of each year) you will have accumulated FV = $375,000 at the end of the period. What annual rate of return is the investment offering? </a:t>
          </a:r>
        </a:p>
        <a:p>
          <a:endParaRPr lang="en-US" b="0" u="none"/>
        </a:p>
        <a:p>
          <a:r>
            <a:rPr lang="en-US" b="0" u="none"/>
            <a:t>18. You plan to buy a car that has a total "drive-out" cost of $25,700. You will make a down payment of $3,598. The remainder of the car’s cost will be financed over a period of 5 years. You will repay the loan by making equal monthly payments. Your quoted annual interest rate is 8% with monthly compounding of interest. (The first payment will be due one month after the purchase date.) What will your monthly payment be? </a:t>
          </a:r>
        </a:p>
        <a:p>
          <a:endParaRPr lang="en-US" b="0" u="none"/>
        </a:p>
        <a:p>
          <a:r>
            <a:rPr lang="en-US" b="0" u="none"/>
            <a:t>19. You are considering leasing a car. You notice an ad that says you can lease the car you want for $477.00 per month. The lease term is 60 months with the first payment due at </a:t>
          </a:r>
          <a:r>
            <a:rPr lang="en-US" b="1" u="sng"/>
            <a:t>inception of the lease</a:t>
          </a:r>
          <a:r>
            <a:rPr lang="en-US" b="0" u="none"/>
            <a:t>. You must also make an additional down payment of $2,370. The ad also says that the residual value of the vehicle is $20,430. After much research, you have concluded that you could buy the car for a total "driveout" price of $33,800. What is the quoted annual interest rate you will pay with the lease? </a:t>
          </a:r>
        </a:p>
        <a:p>
          <a:endParaRPr lang="en-US" b="0" u="none"/>
        </a:p>
        <a:p>
          <a:r>
            <a:rPr lang="en-US" b="0" u="none"/>
            <a:t>20. You are valuing an investment that will pay you $12,000 the first year, $14,000 the second year, $17,000 the third year, $19,000 the fourth year, $23,000 the fifth year, and $29,000 the sixth year (all payments are at the end of each year). What it the value of the investment to you now is the appropriate annual discount rate is 11.00%? </a:t>
          </a:r>
          <a:r>
            <a:rPr lang="en-US" b="1" u="sng"/>
            <a:t>If the rate is 11% compounded</a:t>
          </a:r>
          <a:r>
            <a:rPr lang="en-US" b="1" u="sng" baseline="0"/>
            <a:t> monthly,find EAR and use that as the discount rate </a:t>
          </a:r>
          <a:endParaRPr lang="en-US" b="0" u="none"/>
        </a:p>
        <a:p>
          <a:endParaRPr lang="en-US" b="0" u="none"/>
        </a:p>
        <a:p>
          <a:r>
            <a:rPr lang="en-US" b="0" u="none"/>
            <a:t>21. You are valuing an investment that will pay you $27,000 per year for the first ten years, $35,000 per year for the next ten years, and $48,000 per year the following ten years (all payments are at the end of each year). If the appropriate annual discount rate is 9.00%, what is the value of the investment to you today? </a:t>
          </a:r>
        </a:p>
        <a:p>
          <a:endParaRPr lang="en-US" b="0" u="none"/>
        </a:p>
        <a:p>
          <a:r>
            <a:rPr lang="en-US" b="0" u="none"/>
            <a:t>22. John and Peggy recently bought a house. They financed the house with a $125,000, 30-year mortgage with a nominal interest rate of 7 percent. Mortgage payments are made at the end of each month. What total dollar amount of their mortgage payments during the </a:t>
          </a:r>
          <a:r>
            <a:rPr lang="en-US" b="1" u="sng"/>
            <a:t>first three years </a:t>
          </a:r>
          <a:r>
            <a:rPr lang="en-US" b="0" u="none"/>
            <a:t>will go towards repayment of principal? </a:t>
          </a:r>
        </a:p>
        <a:p>
          <a:endParaRPr lang="en-US" b="0" u="none"/>
        </a:p>
        <a:p>
          <a:r>
            <a:rPr lang="en-US" b="0" u="none"/>
            <a:t>23. You are valuing an investment that will pay you $26,000 per year for the first 9 years, $34,000 per year for the next 11 years, and $47,000 per year the following 14 years (all payments are at the end of each year). Another similar risk investment alternative is an account with a quoted annual interest rate of 9.00% </a:t>
          </a:r>
          <a:r>
            <a:rPr lang="en-US" b="1" u="sng"/>
            <a:t>with monthly compounding</a:t>
          </a:r>
          <a:r>
            <a:rPr lang="en-US" b="0" u="none"/>
            <a:t> of interest. What is the value in today's dollars of the set of cash flows you have been offered? </a:t>
          </a:r>
          <a:r>
            <a:rPr lang="en-US" b="1" u="sng"/>
            <a:t>FInd EAR then find PV of all the annuities.</a:t>
          </a:r>
          <a:endParaRPr lang="en-US" b="0" u="none"/>
        </a:p>
        <a:p>
          <a:endParaRPr lang="en-US" b="0" u="none"/>
        </a:p>
        <a:p>
          <a:r>
            <a:rPr lang="en-US" b="0" u="none"/>
            <a:t>24. You have just won the Georgia Lottery with a jackpot of $40,000,000. Your winnings will be paid to you in 26 equal annual installments with the first payment </a:t>
          </a:r>
          <a:r>
            <a:rPr lang="en-US" b="1" u="sng"/>
            <a:t>made immediately</a:t>
          </a:r>
          <a:r>
            <a:rPr lang="en-US" b="0" u="none"/>
            <a:t>. If you feel the appropriate annual discount rate is 8%, what is the present value of the stream of payments you will receive? </a:t>
          </a:r>
          <a:r>
            <a:rPr lang="en-US" b="1" u="sng"/>
            <a:t> Annuity</a:t>
          </a:r>
          <a:r>
            <a:rPr lang="en-US" b="1" u="sng" baseline="0"/>
            <a:t> Due</a:t>
          </a:r>
          <a:endParaRPr lang="en-US" b="0" u="none"/>
        </a:p>
        <a:p>
          <a:endParaRPr lang="en-US" b="0" u="none"/>
        </a:p>
        <a:p>
          <a:r>
            <a:rPr lang="en-US" b="0" u="none"/>
            <a:t>25. You have just won the Georgia Lottery with a jackpot of $11,000,000. Your winnings will be paid to you in 26 equal annual installments with the first payment </a:t>
          </a:r>
          <a:r>
            <a:rPr lang="en-US" b="1" u="sng"/>
            <a:t>made immediately</a:t>
          </a:r>
          <a:r>
            <a:rPr lang="en-US" b="0" u="none"/>
            <a:t>. If you had the money now, you could invest it in an account with a quoted annual interest rate of </a:t>
          </a:r>
          <a:r>
            <a:rPr lang="en-US" b="1" u="sng"/>
            <a:t>9% with monthly compounding </a:t>
          </a:r>
          <a:r>
            <a:rPr lang="en-US" b="0" u="none"/>
            <a:t>of interest. What is the present value of the stream of payments you will receive?  </a:t>
          </a:r>
          <a:r>
            <a:rPr lang="en-US" b="1" u="sng"/>
            <a:t>Find</a:t>
          </a:r>
          <a:r>
            <a:rPr lang="en-US" b="1" u="sng" baseline="0"/>
            <a:t> EAR</a:t>
          </a:r>
          <a:endParaRPr lang="en-US" b="0" u="none"/>
        </a:p>
        <a:p>
          <a:endParaRPr lang="en-US" b="0" u="none"/>
        </a:p>
        <a:p>
          <a:r>
            <a:rPr lang="en-US" b="0" u="none"/>
            <a:t>26. You are planning for retirement 34 years from now. You plan to invest $4,200 per year for the first 7 years, $6,900 per year for the next 11 years, and $14,500 per year for the following 16 years (assume all cash flows occur at the end of each year). If you believe you will earn an effective annual rate of return of 9.7%, what will your retirement investment be worth 34 years from now? </a:t>
          </a:r>
        </a:p>
        <a:p>
          <a:endParaRPr lang="en-US" b="0" u="none"/>
        </a:p>
        <a:p>
          <a:r>
            <a:rPr lang="en-US" b="0" u="none"/>
            <a:t>27. You plan to retire 33 years from now. You expect that you will live 27 years after retiring. You want to have enough money upon reaching retirement age to withdraw $180,000 from the account at the beginning of each year you expect to live, starting year 34, and yet still have $2,500,000 left in the account at the time of your expected death (60 years from now). You plan to accumulate the retirement fund by making equal annual deposits at the end of each year for the next 33 years. You expect that you will be able to earn 12% per year on your deposits. However, you only expect to earn 6% per year on your investment after you retire since you will choose to place the money in less risky investments. What equal annual deposits must you make each year to reach your retirement goal? </a:t>
          </a:r>
          <a:endParaRPr lang="en-US" sz="1100" b="0" u="none"/>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5485-AF7B-400D-9D40-291B4922037A}">
  <dimension ref="A1:N113"/>
  <sheetViews>
    <sheetView tabSelected="1" workbookViewId="0">
      <selection activeCell="F112" sqref="F112"/>
    </sheetView>
  </sheetViews>
  <sheetFormatPr defaultRowHeight="14.4" x14ac:dyDescent="0.55000000000000004"/>
  <cols>
    <col min="3" max="3" width="12.89453125" bestFit="1" customWidth="1"/>
    <col min="4" max="4" width="11.3125" bestFit="1" customWidth="1"/>
    <col min="5" max="5" width="11.5234375" bestFit="1" customWidth="1"/>
    <col min="6" max="6" width="13.89453125" bestFit="1" customWidth="1"/>
    <col min="7" max="7" width="11.89453125" bestFit="1" customWidth="1"/>
    <col min="8" max="8" width="14.15625" customWidth="1"/>
    <col min="9" max="9" width="13.89453125" bestFit="1" customWidth="1"/>
    <col min="14" max="14" width="10.734375" bestFit="1" customWidth="1"/>
  </cols>
  <sheetData>
    <row r="1" spans="1:8" x14ac:dyDescent="0.55000000000000004">
      <c r="A1">
        <v>1</v>
      </c>
      <c r="B1" t="s">
        <v>0</v>
      </c>
      <c r="C1">
        <v>140000</v>
      </c>
      <c r="E1" t="s">
        <v>2</v>
      </c>
      <c r="F1" s="1">
        <v>0.14000000000000001</v>
      </c>
      <c r="G1" t="s">
        <v>3</v>
      </c>
      <c r="H1" s="3">
        <f>PV(F1,C2,0,-C1)</f>
        <v>25489.714333591011</v>
      </c>
    </row>
    <row r="2" spans="1:8" x14ac:dyDescent="0.55000000000000004">
      <c r="B2" t="s">
        <v>1</v>
      </c>
      <c r="C2">
        <v>13</v>
      </c>
    </row>
    <row r="4" spans="1:8" x14ac:dyDescent="0.55000000000000004">
      <c r="A4">
        <v>2</v>
      </c>
      <c r="B4" t="s">
        <v>3</v>
      </c>
      <c r="C4">
        <v>247000</v>
      </c>
      <c r="E4" t="s">
        <v>2</v>
      </c>
      <c r="F4" s="1">
        <v>0.11</v>
      </c>
      <c r="G4" t="s">
        <v>4</v>
      </c>
      <c r="H4" s="3">
        <f>FV(F4,C5,0,-C4)</f>
        <v>631835.12032346614</v>
      </c>
    </row>
    <row r="5" spans="1:8" x14ac:dyDescent="0.55000000000000004">
      <c r="B5" t="s">
        <v>1</v>
      </c>
      <c r="C5">
        <v>9</v>
      </c>
    </row>
    <row r="7" spans="1:8" x14ac:dyDescent="0.55000000000000004">
      <c r="A7">
        <v>3</v>
      </c>
      <c r="B7" t="s">
        <v>3</v>
      </c>
      <c r="C7">
        <v>136000</v>
      </c>
      <c r="E7" t="s">
        <v>2</v>
      </c>
      <c r="F7" s="1">
        <v>0.08</v>
      </c>
      <c r="G7" t="s">
        <v>1</v>
      </c>
      <c r="H7" s="4">
        <f>NPER(F7,0,-C7,C8)</f>
        <v>16.057649324100133</v>
      </c>
    </row>
    <row r="8" spans="1:8" x14ac:dyDescent="0.55000000000000004">
      <c r="B8" t="s">
        <v>4</v>
      </c>
      <c r="C8">
        <v>468000</v>
      </c>
    </row>
    <row r="10" spans="1:8" x14ac:dyDescent="0.55000000000000004">
      <c r="A10">
        <v>4</v>
      </c>
      <c r="B10" t="s">
        <v>3</v>
      </c>
      <c r="C10">
        <v>137000</v>
      </c>
      <c r="E10" t="s">
        <v>1</v>
      </c>
      <c r="F10">
        <v>14</v>
      </c>
      <c r="G10" t="s">
        <v>2</v>
      </c>
      <c r="H10" s="5">
        <f>RATE(F10,0,-C10,C11)</f>
        <v>9.2872512848963848E-2</v>
      </c>
    </row>
    <row r="11" spans="1:8" x14ac:dyDescent="0.55000000000000004">
      <c r="B11" t="s">
        <v>4</v>
      </c>
      <c r="C11">
        <v>475000</v>
      </c>
    </row>
    <row r="13" spans="1:8" x14ac:dyDescent="0.55000000000000004">
      <c r="A13">
        <v>5</v>
      </c>
      <c r="B13" t="s">
        <v>4</v>
      </c>
      <c r="C13">
        <v>197000</v>
      </c>
      <c r="E13" t="s">
        <v>2</v>
      </c>
      <c r="F13" s="1">
        <f>13%/2</f>
        <v>6.5000000000000002E-2</v>
      </c>
      <c r="G13" t="s">
        <v>3</v>
      </c>
      <c r="H13" s="3">
        <f>PV(F13,C14,0,-C13)</f>
        <v>104947.0289975442</v>
      </c>
    </row>
    <row r="14" spans="1:8" x14ac:dyDescent="0.55000000000000004">
      <c r="B14" t="s">
        <v>1</v>
      </c>
      <c r="C14">
        <v>10</v>
      </c>
    </row>
    <row r="16" spans="1:8" x14ac:dyDescent="0.55000000000000004">
      <c r="A16">
        <v>6</v>
      </c>
      <c r="B16" t="s">
        <v>3</v>
      </c>
      <c r="C16">
        <v>153000</v>
      </c>
      <c r="E16" t="s">
        <v>2</v>
      </c>
      <c r="F16" s="1">
        <f>10%/12</f>
        <v>8.3333333333333332E-3</v>
      </c>
      <c r="G16" t="s">
        <v>6</v>
      </c>
      <c r="H16" s="3">
        <f>FV(F16,C17,0,-C16)</f>
        <v>558386.38025219413</v>
      </c>
    </row>
    <row r="17" spans="1:8" x14ac:dyDescent="0.55000000000000004">
      <c r="B17" t="s">
        <v>5</v>
      </c>
      <c r="C17">
        <f>13*12</f>
        <v>156</v>
      </c>
    </row>
    <row r="19" spans="1:8" x14ac:dyDescent="0.55000000000000004">
      <c r="A19">
        <v>7</v>
      </c>
      <c r="B19" t="s">
        <v>3</v>
      </c>
      <c r="C19">
        <v>197000</v>
      </c>
      <c r="E19" t="s">
        <v>2</v>
      </c>
      <c r="F19">
        <f>8%/12</f>
        <v>6.6666666666666671E-3</v>
      </c>
      <c r="G19" t="s">
        <v>1</v>
      </c>
      <c r="H19" s="4">
        <f>NPER(F19,0,-C19,C20)/12</f>
        <v>12.967545972028518</v>
      </c>
    </row>
    <row r="20" spans="1:8" x14ac:dyDescent="0.55000000000000004">
      <c r="B20" t="s">
        <v>4</v>
      </c>
      <c r="C20">
        <v>554000</v>
      </c>
    </row>
    <row r="22" spans="1:8" x14ac:dyDescent="0.55000000000000004">
      <c r="A22">
        <v>8</v>
      </c>
      <c r="B22" t="s">
        <v>3</v>
      </c>
      <c r="C22">
        <v>134000</v>
      </c>
    </row>
    <row r="23" spans="1:8" x14ac:dyDescent="0.55000000000000004">
      <c r="B23" t="s">
        <v>4</v>
      </c>
      <c r="C23">
        <v>459000</v>
      </c>
      <c r="E23" t="s">
        <v>1</v>
      </c>
      <c r="F23">
        <f>15*52</f>
        <v>780</v>
      </c>
      <c r="G23" t="s">
        <v>2</v>
      </c>
      <c r="H23" s="7">
        <f>RATE(F23,0,-C22,C23)*52</f>
        <v>8.2145509262919386E-2</v>
      </c>
    </row>
    <row r="25" spans="1:8" x14ac:dyDescent="0.55000000000000004">
      <c r="A25">
        <v>9</v>
      </c>
      <c r="B25" t="s">
        <v>2</v>
      </c>
      <c r="C25">
        <f>13%</f>
        <v>0.13</v>
      </c>
      <c r="E25" t="s">
        <v>3</v>
      </c>
      <c r="F25">
        <v>-100</v>
      </c>
      <c r="G25" t="s">
        <v>7</v>
      </c>
      <c r="H25" s="8">
        <f>EFFECT(C25,C26)</f>
        <v>0.1364759281640624</v>
      </c>
    </row>
    <row r="26" spans="1:8" x14ac:dyDescent="0.55000000000000004">
      <c r="B26" t="s">
        <v>1</v>
      </c>
      <c r="C26">
        <v>4</v>
      </c>
    </row>
    <row r="28" spans="1:8" x14ac:dyDescent="0.55000000000000004">
      <c r="A28">
        <v>10</v>
      </c>
      <c r="B28" t="s">
        <v>8</v>
      </c>
      <c r="C28">
        <v>24000</v>
      </c>
      <c r="E28" t="s">
        <v>9</v>
      </c>
      <c r="F28" s="1">
        <v>0.13</v>
      </c>
      <c r="G28" t="s">
        <v>3</v>
      </c>
      <c r="H28" s="3">
        <f>PV(F28, C29,-C28)</f>
        <v>136486.58709988417</v>
      </c>
    </row>
    <row r="29" spans="1:8" x14ac:dyDescent="0.55000000000000004">
      <c r="B29" t="s">
        <v>1</v>
      </c>
      <c r="C29">
        <v>11</v>
      </c>
    </row>
    <row r="31" spans="1:8" x14ac:dyDescent="0.55000000000000004">
      <c r="A31">
        <v>11</v>
      </c>
      <c r="B31" t="s">
        <v>10</v>
      </c>
      <c r="C31">
        <v>16000</v>
      </c>
      <c r="E31" t="s">
        <v>2</v>
      </c>
      <c r="F31" s="1">
        <v>0.14000000000000001</v>
      </c>
      <c r="G31" t="s">
        <v>4</v>
      </c>
      <c r="H31" s="3">
        <f>FV(F31, C32, -C31, 0)</f>
        <v>436331.97940897092</v>
      </c>
    </row>
    <row r="32" spans="1:8" x14ac:dyDescent="0.55000000000000004">
      <c r="B32" t="s">
        <v>1</v>
      </c>
      <c r="C32">
        <v>12</v>
      </c>
    </row>
    <row r="34" spans="1:8" x14ac:dyDescent="0.55000000000000004">
      <c r="A34">
        <v>12</v>
      </c>
      <c r="B34" t="s">
        <v>1</v>
      </c>
      <c r="C34">
        <v>25</v>
      </c>
      <c r="E34" t="s">
        <v>2</v>
      </c>
      <c r="F34" s="1">
        <v>0.14000000000000001</v>
      </c>
      <c r="G34" t="s">
        <v>10</v>
      </c>
      <c r="H34" s="3">
        <f>PMT(F34,C34, -C35)</f>
        <v>56598.880687588091</v>
      </c>
    </row>
    <row r="35" spans="1:8" x14ac:dyDescent="0.55000000000000004">
      <c r="B35" t="s">
        <v>3</v>
      </c>
      <c r="C35">
        <v>389000</v>
      </c>
    </row>
    <row r="37" spans="1:8" x14ac:dyDescent="0.55000000000000004">
      <c r="A37">
        <v>12.5</v>
      </c>
      <c r="B37" t="s">
        <v>3</v>
      </c>
      <c r="C37">
        <v>389000</v>
      </c>
      <c r="E37" t="s">
        <v>2</v>
      </c>
      <c r="F37" s="1">
        <f>14%</f>
        <v>0.14000000000000001</v>
      </c>
      <c r="G37" s="3">
        <f>PMT(F38,C38,-C37)</f>
        <v>59941.160114868289</v>
      </c>
    </row>
    <row r="38" spans="1:8" x14ac:dyDescent="0.55000000000000004">
      <c r="B38" t="s">
        <v>1</v>
      </c>
      <c r="C38">
        <f>25</f>
        <v>25</v>
      </c>
      <c r="E38" t="s">
        <v>7</v>
      </c>
      <c r="F38">
        <f>EFFECT(F37,12)</f>
        <v>0.14934202920715767</v>
      </c>
    </row>
    <row r="40" spans="1:8" x14ac:dyDescent="0.55000000000000004">
      <c r="A40">
        <v>13</v>
      </c>
      <c r="B40" t="s">
        <v>10</v>
      </c>
      <c r="C40">
        <v>11000</v>
      </c>
      <c r="E40" t="s">
        <v>4</v>
      </c>
      <c r="F40">
        <v>366000</v>
      </c>
      <c r="G40" t="s">
        <v>11</v>
      </c>
      <c r="H40" s="7">
        <f>RATE(C41,-C40,0,F40)</f>
        <v>3.2085537022517027E-2</v>
      </c>
    </row>
    <row r="41" spans="1:8" x14ac:dyDescent="0.55000000000000004">
      <c r="B41" t="s">
        <v>1</v>
      </c>
      <c r="C41">
        <v>23</v>
      </c>
    </row>
    <row r="43" spans="1:8" x14ac:dyDescent="0.55000000000000004">
      <c r="A43">
        <v>14</v>
      </c>
      <c r="B43" t="s">
        <v>10</v>
      </c>
      <c r="C43">
        <v>17000</v>
      </c>
      <c r="E43" t="s">
        <v>2</v>
      </c>
      <c r="F43" s="1">
        <v>0.11</v>
      </c>
      <c r="G43" t="s">
        <v>3</v>
      </c>
      <c r="H43" s="3">
        <f>PV(F43,C44,-C43,,1)</f>
        <v>88919.1435135504</v>
      </c>
    </row>
    <row r="44" spans="1:8" x14ac:dyDescent="0.55000000000000004">
      <c r="B44" t="s">
        <v>1</v>
      </c>
      <c r="C44">
        <v>7</v>
      </c>
    </row>
    <row r="46" spans="1:8" x14ac:dyDescent="0.55000000000000004">
      <c r="A46">
        <v>15</v>
      </c>
      <c r="B46" t="s">
        <v>10</v>
      </c>
      <c r="C46">
        <v>15000</v>
      </c>
      <c r="E46" t="s">
        <v>2</v>
      </c>
      <c r="F46" s="1">
        <v>0.08</v>
      </c>
      <c r="G46" t="s">
        <v>4</v>
      </c>
      <c r="H46" s="3">
        <f>FV(F46,C47,-C46,,1)</f>
        <v>202298.43698864771</v>
      </c>
    </row>
    <row r="47" spans="1:8" x14ac:dyDescent="0.55000000000000004">
      <c r="B47" t="s">
        <v>1</v>
      </c>
      <c r="C47">
        <v>9</v>
      </c>
    </row>
    <row r="49" spans="1:8" x14ac:dyDescent="0.55000000000000004">
      <c r="A49">
        <v>16</v>
      </c>
      <c r="B49" t="s">
        <v>4</v>
      </c>
      <c r="C49">
        <v>450000</v>
      </c>
      <c r="E49" t="s">
        <v>2</v>
      </c>
      <c r="F49" s="1">
        <v>0.09</v>
      </c>
      <c r="G49" t="s">
        <v>10</v>
      </c>
      <c r="H49" s="3">
        <f>PMT(F49,C50,,-C49,1)</f>
        <v>20497.978267226299</v>
      </c>
    </row>
    <row r="50" spans="1:8" x14ac:dyDescent="0.55000000000000004">
      <c r="B50" t="s">
        <v>1</v>
      </c>
      <c r="C50">
        <v>12</v>
      </c>
    </row>
    <row r="52" spans="1:8" x14ac:dyDescent="0.55000000000000004">
      <c r="A52">
        <v>17</v>
      </c>
      <c r="B52" t="s">
        <v>10</v>
      </c>
      <c r="C52">
        <v>11100</v>
      </c>
      <c r="E52" t="s">
        <v>4</v>
      </c>
      <c r="F52">
        <v>375000</v>
      </c>
      <c r="G52" t="s">
        <v>2</v>
      </c>
      <c r="H52" s="7">
        <f>RATE(C53,-C52,,F52,1)</f>
        <v>5.4772266278104831E-2</v>
      </c>
    </row>
    <row r="53" spans="1:8" x14ac:dyDescent="0.55000000000000004">
      <c r="B53" t="s">
        <v>1</v>
      </c>
      <c r="C53">
        <v>19</v>
      </c>
    </row>
    <row r="55" spans="1:8" x14ac:dyDescent="0.55000000000000004">
      <c r="A55">
        <v>18</v>
      </c>
      <c r="B55" t="s">
        <v>3</v>
      </c>
      <c r="C55">
        <f>25700-3598</f>
        <v>22102</v>
      </c>
      <c r="E55" t="s">
        <v>2</v>
      </c>
      <c r="F55">
        <f>8%/12</f>
        <v>6.6666666666666671E-3</v>
      </c>
      <c r="G55" t="s">
        <v>10</v>
      </c>
      <c r="H55" s="3">
        <f>PMT(F55,C56,-C55)</f>
        <v>448.14886656251912</v>
      </c>
    </row>
    <row r="56" spans="1:8" x14ac:dyDescent="0.55000000000000004">
      <c r="B56" t="s">
        <v>1</v>
      </c>
      <c r="C56">
        <f>5*12</f>
        <v>60</v>
      </c>
    </row>
    <row r="58" spans="1:8" x14ac:dyDescent="0.55000000000000004">
      <c r="A58">
        <v>19</v>
      </c>
      <c r="B58" t="s">
        <v>10</v>
      </c>
      <c r="C58">
        <v>477</v>
      </c>
      <c r="E58" t="s">
        <v>3</v>
      </c>
      <c r="F58">
        <f>33800-2370</f>
        <v>31430</v>
      </c>
      <c r="G58" t="s">
        <v>2</v>
      </c>
      <c r="H58" s="7">
        <f>RATE(C59,C58,-F58,F59,1)*12</f>
        <v>0.13474003409366564</v>
      </c>
    </row>
    <row r="59" spans="1:8" x14ac:dyDescent="0.55000000000000004">
      <c r="B59" t="s">
        <v>1</v>
      </c>
      <c r="C59">
        <f>5*12</f>
        <v>60</v>
      </c>
      <c r="E59" t="s">
        <v>4</v>
      </c>
      <c r="F59">
        <v>20430</v>
      </c>
    </row>
    <row r="61" spans="1:8" x14ac:dyDescent="0.55000000000000004">
      <c r="A61">
        <v>20</v>
      </c>
      <c r="B61" t="s">
        <v>12</v>
      </c>
      <c r="C61">
        <v>12000</v>
      </c>
      <c r="E61" t="s">
        <v>18</v>
      </c>
      <c r="F61" s="1">
        <v>0.11</v>
      </c>
      <c r="G61" t="s">
        <v>7</v>
      </c>
      <c r="H61" s="6">
        <f>EFFECT(F61,12)</f>
        <v>0.11571883619521484</v>
      </c>
    </row>
    <row r="62" spans="1:8" x14ac:dyDescent="0.55000000000000004">
      <c r="B62" t="s">
        <v>13</v>
      </c>
      <c r="C62">
        <v>14000</v>
      </c>
    </row>
    <row r="63" spans="1:8" x14ac:dyDescent="0.55000000000000004">
      <c r="B63" t="s">
        <v>14</v>
      </c>
      <c r="C63">
        <v>17000</v>
      </c>
      <c r="E63" t="s">
        <v>19</v>
      </c>
      <c r="F63" s="3">
        <f>NPV(F61,C61:C66)</f>
        <v>76273.631659020524</v>
      </c>
    </row>
    <row r="64" spans="1:8" x14ac:dyDescent="0.55000000000000004">
      <c r="B64" t="s">
        <v>15</v>
      </c>
      <c r="C64">
        <v>19000</v>
      </c>
      <c r="E64" t="s">
        <v>32</v>
      </c>
      <c r="F64" s="3">
        <f>NPV(H61,C61:C66)</f>
        <v>74840.21886485102</v>
      </c>
    </row>
    <row r="65" spans="1:7" x14ac:dyDescent="0.55000000000000004">
      <c r="B65" t="s">
        <v>16</v>
      </c>
      <c r="C65">
        <v>23000</v>
      </c>
    </row>
    <row r="66" spans="1:7" x14ac:dyDescent="0.55000000000000004">
      <c r="B66" t="s">
        <v>17</v>
      </c>
      <c r="C66">
        <v>29000</v>
      </c>
    </row>
    <row r="68" spans="1:7" x14ac:dyDescent="0.55000000000000004">
      <c r="A68">
        <v>21</v>
      </c>
      <c r="C68" t="s">
        <v>10</v>
      </c>
      <c r="D68">
        <v>27000</v>
      </c>
      <c r="E68">
        <v>35000</v>
      </c>
      <c r="F68">
        <v>48000</v>
      </c>
    </row>
    <row r="69" spans="1:7" x14ac:dyDescent="0.55000000000000004">
      <c r="C69" t="s">
        <v>1</v>
      </c>
      <c r="D69">
        <v>10</v>
      </c>
      <c r="E69">
        <v>10</v>
      </c>
      <c r="F69">
        <v>10</v>
      </c>
    </row>
    <row r="70" spans="1:7" x14ac:dyDescent="0.55000000000000004">
      <c r="C70" t="s">
        <v>2</v>
      </c>
      <c r="D70" s="1">
        <v>0.09</v>
      </c>
    </row>
    <row r="71" spans="1:7" x14ac:dyDescent="0.55000000000000004">
      <c r="B71" t="s">
        <v>20</v>
      </c>
      <c r="C71" t="s">
        <v>21</v>
      </c>
      <c r="D71" s="3">
        <f>PV(D70,D69,-D68)</f>
        <v>173276.75793129334</v>
      </c>
    </row>
    <row r="72" spans="1:7" x14ac:dyDescent="0.55000000000000004">
      <c r="B72" t="s">
        <v>26</v>
      </c>
      <c r="C72" t="s">
        <v>22</v>
      </c>
      <c r="D72" s="2">
        <f>PV(D70,D69,-E68)</f>
        <v>224618.01954056544</v>
      </c>
      <c r="E72" t="s">
        <v>23</v>
      </c>
      <c r="F72" t="s">
        <v>21</v>
      </c>
      <c r="G72" s="3">
        <f>PV(D70,D69,,-D72)</f>
        <v>94881.078877441862</v>
      </c>
    </row>
    <row r="73" spans="1:7" x14ac:dyDescent="0.55000000000000004">
      <c r="B73" t="s">
        <v>27</v>
      </c>
      <c r="C73" t="s">
        <v>24</v>
      </c>
      <c r="D73" s="2">
        <f>PV(D70,D69,-F68)</f>
        <v>308047.5696556326</v>
      </c>
      <c r="E73" t="s">
        <v>23</v>
      </c>
      <c r="F73" t="s">
        <v>21</v>
      </c>
      <c r="G73" s="3">
        <f>PV(D70, 20,  ,-D73)</f>
        <v>54965.201948919406</v>
      </c>
    </row>
    <row r="75" spans="1:7" x14ac:dyDescent="0.55000000000000004">
      <c r="B75" t="s">
        <v>28</v>
      </c>
      <c r="C75" s="3">
        <f>D71+G72+G73</f>
        <v>323123.03875765461</v>
      </c>
    </row>
    <row r="77" spans="1:7" x14ac:dyDescent="0.55000000000000004">
      <c r="A77">
        <v>22</v>
      </c>
      <c r="B77" t="s">
        <v>21</v>
      </c>
      <c r="C77">
        <v>125000</v>
      </c>
      <c r="E77" t="s">
        <v>10</v>
      </c>
      <c r="F77" s="2">
        <f>PMT(C79,C78,-C77)</f>
        <v>831.62811897397899</v>
      </c>
    </row>
    <row r="78" spans="1:7" x14ac:dyDescent="0.55000000000000004">
      <c r="B78" t="s">
        <v>1</v>
      </c>
      <c r="C78">
        <f>30*12</f>
        <v>360</v>
      </c>
    </row>
    <row r="79" spans="1:7" x14ac:dyDescent="0.55000000000000004">
      <c r="B79" t="s">
        <v>2</v>
      </c>
      <c r="C79">
        <f>7%/12</f>
        <v>5.8333333333333336E-3</v>
      </c>
    </row>
    <row r="80" spans="1:7" x14ac:dyDescent="0.55000000000000004">
      <c r="B80" t="s">
        <v>29</v>
      </c>
      <c r="E80" t="s">
        <v>31</v>
      </c>
      <c r="F80" s="3">
        <f>C77-C81</f>
        <v>4091.2961095575592</v>
      </c>
    </row>
    <row r="81" spans="1:13" x14ac:dyDescent="0.55000000000000004">
      <c r="B81" t="s">
        <v>30</v>
      </c>
      <c r="C81" s="2">
        <f>PV(C83,C82,-F77)</f>
        <v>120908.70389044244</v>
      </c>
    </row>
    <row r="82" spans="1:13" x14ac:dyDescent="0.55000000000000004">
      <c r="B82" t="s">
        <v>1</v>
      </c>
      <c r="C82">
        <f>12*27</f>
        <v>324</v>
      </c>
    </row>
    <row r="83" spans="1:13" x14ac:dyDescent="0.55000000000000004">
      <c r="B83" t="s">
        <v>2</v>
      </c>
      <c r="C83">
        <f>7%/12</f>
        <v>5.8333333333333336E-3</v>
      </c>
    </row>
    <row r="85" spans="1:13" x14ac:dyDescent="0.55000000000000004">
      <c r="A85">
        <v>23</v>
      </c>
      <c r="B85" t="s">
        <v>2</v>
      </c>
      <c r="C85">
        <f>9%</f>
        <v>0.09</v>
      </c>
      <c r="E85" t="s">
        <v>7</v>
      </c>
      <c r="F85">
        <f>EFFECT(C85,12)</f>
        <v>9.3806897670984268E-2</v>
      </c>
      <c r="I85" t="s">
        <v>33</v>
      </c>
      <c r="J85">
        <v>26000</v>
      </c>
      <c r="K85" t="s">
        <v>1</v>
      </c>
      <c r="L85">
        <v>9</v>
      </c>
      <c r="M85" t="s">
        <v>38</v>
      </c>
    </row>
    <row r="86" spans="1:13" x14ac:dyDescent="0.55000000000000004">
      <c r="I86" t="s">
        <v>34</v>
      </c>
      <c r="J86">
        <v>34000</v>
      </c>
      <c r="K86" t="s">
        <v>1</v>
      </c>
      <c r="L86">
        <v>11</v>
      </c>
      <c r="M86" t="s">
        <v>39</v>
      </c>
    </row>
    <row r="87" spans="1:13" x14ac:dyDescent="0.55000000000000004">
      <c r="B87" t="s">
        <v>21</v>
      </c>
      <c r="C87" s="3">
        <f>PV(F85,9,-J85)</f>
        <v>153492.75766815434</v>
      </c>
      <c r="I87" t="s">
        <v>35</v>
      </c>
      <c r="J87">
        <v>47000</v>
      </c>
      <c r="K87" t="s">
        <v>1</v>
      </c>
      <c r="L87">
        <v>14</v>
      </c>
      <c r="M87" t="s">
        <v>40</v>
      </c>
    </row>
    <row r="89" spans="1:13" x14ac:dyDescent="0.55000000000000004">
      <c r="B89" t="s">
        <v>41</v>
      </c>
      <c r="C89" s="2">
        <f>PV(F85,11,-J86)</f>
        <v>227271.52972599523</v>
      </c>
      <c r="D89" t="s">
        <v>23</v>
      </c>
      <c r="E89" t="s">
        <v>36</v>
      </c>
      <c r="F89" s="3">
        <f>PV(F85,9,,-C89)</f>
        <v>101409.61065072208</v>
      </c>
    </row>
    <row r="91" spans="1:13" x14ac:dyDescent="0.55000000000000004">
      <c r="B91" t="s">
        <v>24</v>
      </c>
      <c r="C91" s="2">
        <f>PV(F85,14, -J87)</f>
        <v>358240.54251309781</v>
      </c>
      <c r="D91" t="s">
        <v>23</v>
      </c>
      <c r="E91" t="s">
        <v>37</v>
      </c>
      <c r="F91" s="3">
        <f>PV(F85,20,,-C91)</f>
        <v>59615.827801003215</v>
      </c>
    </row>
    <row r="93" spans="1:13" x14ac:dyDescent="0.55000000000000004">
      <c r="B93" t="s">
        <v>28</v>
      </c>
      <c r="C93" s="3">
        <f>C87+F89+F91</f>
        <v>314518.19611987966</v>
      </c>
    </row>
    <row r="95" spans="1:13" x14ac:dyDescent="0.55000000000000004">
      <c r="A95">
        <v>24</v>
      </c>
      <c r="B95" t="s">
        <v>10</v>
      </c>
      <c r="C95">
        <f>40000000/26</f>
        <v>1538461.5384615385</v>
      </c>
      <c r="E95" t="s">
        <v>3</v>
      </c>
      <c r="F95" s="3">
        <f>PV(C96,26,-C95,,1)</f>
        <v>17961194.136290126</v>
      </c>
    </row>
    <row r="96" spans="1:13" x14ac:dyDescent="0.55000000000000004">
      <c r="B96" t="s">
        <v>2</v>
      </c>
      <c r="C96" s="1">
        <v>0.08</v>
      </c>
    </row>
    <row r="98" spans="1:14" x14ac:dyDescent="0.55000000000000004">
      <c r="A98">
        <v>25</v>
      </c>
      <c r="B98" t="s">
        <v>10</v>
      </c>
      <c r="C98">
        <f>11000000/26</f>
        <v>423076.92307692306</v>
      </c>
      <c r="E98" t="s">
        <v>2</v>
      </c>
      <c r="F98" s="1">
        <f>9%</f>
        <v>0.09</v>
      </c>
      <c r="H98" t="s">
        <v>3</v>
      </c>
      <c r="I98" s="3">
        <f>PV(I99,C99,-C98,,1)</f>
        <v>4932720.3859278914</v>
      </c>
    </row>
    <row r="99" spans="1:14" x14ac:dyDescent="0.55000000000000004">
      <c r="B99" t="s">
        <v>1</v>
      </c>
      <c r="C99">
        <f>26*4</f>
        <v>104</v>
      </c>
      <c r="H99" t="s">
        <v>7</v>
      </c>
      <c r="I99" s="10">
        <f>EFFECT(9%,12)</f>
        <v>9.3806897670984268E-2</v>
      </c>
    </row>
    <row r="101" spans="1:14" x14ac:dyDescent="0.55000000000000004">
      <c r="A101">
        <v>26</v>
      </c>
      <c r="B101" t="s">
        <v>2</v>
      </c>
      <c r="C101" s="9">
        <v>9.7000000000000003E-2</v>
      </c>
      <c r="I101" t="s">
        <v>33</v>
      </c>
      <c r="J101">
        <v>4200</v>
      </c>
      <c r="K101" t="s">
        <v>1</v>
      </c>
      <c r="L101">
        <v>7</v>
      </c>
      <c r="M101" t="s">
        <v>42</v>
      </c>
      <c r="N101" t="s">
        <v>47</v>
      </c>
    </row>
    <row r="102" spans="1:14" x14ac:dyDescent="0.55000000000000004">
      <c r="I102" t="s">
        <v>34</v>
      </c>
      <c r="J102">
        <v>6900</v>
      </c>
      <c r="K102" t="s">
        <v>1</v>
      </c>
      <c r="L102">
        <v>11</v>
      </c>
      <c r="M102" t="s">
        <v>43</v>
      </c>
      <c r="N102" t="s">
        <v>50</v>
      </c>
    </row>
    <row r="103" spans="1:14" x14ac:dyDescent="0.55000000000000004">
      <c r="B103" t="s">
        <v>48</v>
      </c>
      <c r="C103" s="3">
        <f>FV(C101,L101,-J101)</f>
        <v>39480.750179870156</v>
      </c>
      <c r="D103" t="s">
        <v>25</v>
      </c>
      <c r="E103" t="s">
        <v>46</v>
      </c>
      <c r="F103" s="3">
        <f>FV(C101, 27, ,- C103)</f>
        <v>480799.86902708781</v>
      </c>
      <c r="I103" t="s">
        <v>35</v>
      </c>
      <c r="J103">
        <v>14500</v>
      </c>
      <c r="K103" t="s">
        <v>1</v>
      </c>
      <c r="L103">
        <v>16</v>
      </c>
      <c r="M103" t="s">
        <v>44</v>
      </c>
    </row>
    <row r="104" spans="1:14" x14ac:dyDescent="0.55000000000000004">
      <c r="B104" t="s">
        <v>49</v>
      </c>
      <c r="C104" s="2">
        <f>FV(C101, L102, -J102)</f>
        <v>125813.38298486148</v>
      </c>
      <c r="D104" t="s">
        <v>23</v>
      </c>
      <c r="E104" t="s">
        <v>51</v>
      </c>
      <c r="F104" s="3">
        <f>FV(C101, 16, , -C104)</f>
        <v>553392.00617937755</v>
      </c>
    </row>
    <row r="105" spans="1:14" x14ac:dyDescent="0.55000000000000004">
      <c r="B105" t="s">
        <v>52</v>
      </c>
      <c r="C105" s="2">
        <f>FV(C101, L103, -J103)</f>
        <v>508025.38339427719</v>
      </c>
      <c r="D105" t="s">
        <v>23</v>
      </c>
      <c r="F105" s="3"/>
    </row>
    <row r="107" spans="1:14" x14ac:dyDescent="0.55000000000000004">
      <c r="B107" t="s">
        <v>45</v>
      </c>
      <c r="C107" s="3">
        <f>F103+F104+C105</f>
        <v>1542217.2586007426</v>
      </c>
    </row>
    <row r="109" spans="1:14" x14ac:dyDescent="0.55000000000000004">
      <c r="A109">
        <v>27</v>
      </c>
      <c r="B109" t="s">
        <v>53</v>
      </c>
      <c r="C109">
        <v>180000</v>
      </c>
      <c r="E109" t="s">
        <v>4</v>
      </c>
      <c r="F109">
        <v>2500000</v>
      </c>
      <c r="H109" t="s">
        <v>54</v>
      </c>
      <c r="I109" s="3">
        <f>PV(F110,C110,-C109,-F109)</f>
        <v>2896316.0241616699</v>
      </c>
    </row>
    <row r="110" spans="1:14" x14ac:dyDescent="0.55000000000000004">
      <c r="B110" t="s">
        <v>1</v>
      </c>
      <c r="C110">
        <v>27</v>
      </c>
      <c r="E110" t="s">
        <v>2</v>
      </c>
      <c r="F110" s="1">
        <v>0.06</v>
      </c>
    </row>
    <row r="112" spans="1:14" x14ac:dyDescent="0.55000000000000004">
      <c r="B112" t="s">
        <v>1</v>
      </c>
      <c r="C112">
        <v>33</v>
      </c>
      <c r="E112" t="s">
        <v>10</v>
      </c>
      <c r="F112" s="3">
        <f>PMT(C113,C112,,-I109)</f>
        <v>8458.1395141000103</v>
      </c>
    </row>
    <row r="113" spans="2:3" x14ac:dyDescent="0.55000000000000004">
      <c r="B113" t="s">
        <v>2</v>
      </c>
      <c r="C113" s="1">
        <v>0.12</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Swastik Mallick</dc:creator>
  <cp:lastModifiedBy>Swastik Mallick</cp:lastModifiedBy>
  <dcterms:created xsi:type="dcterms:W3CDTF">2025-10-16T02:21:47Z</dcterms:created>
  <dcterms:modified xsi:type="dcterms:W3CDTF">2025-10-16T13:15:44Z</dcterms:modified>
</cp:coreProperties>
</file>