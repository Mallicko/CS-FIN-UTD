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upinder\Dropbox\Teaching_utd\Fall_2019\3390\Topic 4 - Valuation of Financial Assets\"/>
    </mc:Choice>
  </mc:AlternateContent>
  <xr:revisionPtr revIDLastSave="0" documentId="8_{B1D0444C-7DCF-4D14-825F-385A9F15A210}" xr6:coauthVersionLast="45" xr6:coauthVersionMax="45" xr10:uidLastSave="{00000000-0000-0000-0000-000000000000}"/>
  <bookViews>
    <workbookView xWindow="-120" yWindow="-120" windowWidth="20730" windowHeight="11160" activeTab="4" xr2:uid="{00000000-000D-0000-FFFF-FFFF00000000}"/>
  </bookViews>
  <sheets>
    <sheet name="Price" sheetId="2" r:id="rId1"/>
    <sheet name="Graph" sheetId="7" r:id="rId2"/>
    <sheet name="Yield" sheetId="9" r:id="rId3"/>
    <sheet name="Short vs long term graph work" sheetId="11" r:id="rId4"/>
    <sheet name="Accrued interst" sheetId="23" r:id="rId5"/>
    <sheet name="Low vs high coupon rate graph" sheetId="14" state="hidden" r:id="rId6"/>
    <sheet name="Accrued Interest" sheetId="22" state="hidden" r:id="rId7"/>
    <sheet name="Accrued Interest solution" sheetId="20" state="hidden" r:id="rId8"/>
  </sheets>
  <calcPr calcId="181029"/>
  <fileRecoveryPr repairLoad="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17" i="20" l="1"/>
  <c r="B44" i="20" l="1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27" i="20"/>
  <c r="A27" i="20"/>
  <c r="A26" i="20"/>
  <c r="B21" i="20"/>
  <c r="B14" i="20"/>
  <c r="B12" i="20"/>
  <c r="B15" i="20" l="1"/>
  <c r="B16" i="20" s="1"/>
  <c r="B17" i="20" l="1"/>
  <c r="B26" i="20" s="1"/>
  <c r="B47" i="20" s="1"/>
</calcChain>
</file>

<file path=xl/sharedStrings.xml><?xml version="1.0" encoding="utf-8"?>
<sst xmlns="http://schemas.openxmlformats.org/spreadsheetml/2006/main" count="49" uniqueCount="30">
  <si>
    <t>Maturity date</t>
  </si>
  <si>
    <t>YTM</t>
  </si>
  <si>
    <t>Face</t>
  </si>
  <si>
    <t>Coupon rate</t>
  </si>
  <si>
    <t>Coupon</t>
  </si>
  <si>
    <t>settlement</t>
  </si>
  <si>
    <t>Maturity</t>
  </si>
  <si>
    <t>Short term bond (1 year)</t>
  </si>
  <si>
    <t>frequrncy</t>
  </si>
  <si>
    <t>Long Term Bond (30 years)</t>
  </si>
  <si>
    <t xml:space="preserve"> </t>
  </si>
  <si>
    <t xml:space="preserve">Face </t>
  </si>
  <si>
    <t>Principle</t>
  </si>
  <si>
    <t>Quoted Price</t>
  </si>
  <si>
    <t>Frequency</t>
  </si>
  <si>
    <t>Coupon payment over the period</t>
  </si>
  <si>
    <t>Previous coupon date</t>
  </si>
  <si>
    <t>Number of days since last coupon</t>
  </si>
  <si>
    <t>Next coupon date</t>
  </si>
  <si>
    <t>Number of days between coupons</t>
  </si>
  <si>
    <t>Percentage of interest that is accrued</t>
  </si>
  <si>
    <t>Accrued bond price to be paid to seller</t>
  </si>
  <si>
    <t>Accrued interest due seller</t>
  </si>
  <si>
    <t>Bond purchase date (Settlement)</t>
  </si>
  <si>
    <t>cash</t>
  </si>
  <si>
    <t>Can calculate YTM using XIRR function</t>
  </si>
  <si>
    <t>date</t>
  </si>
  <si>
    <t>XIRR</t>
  </si>
  <si>
    <t>=ACCRINT(B11,B13,B10,B5,B3,1)</t>
  </si>
  <si>
    <t>Alternative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</si>
</sst>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m/d/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9" fontId="0" fillId="0" borderId="0" xfId="0" applyNumberFormat="1"/>
    <xf numFmtId="14" fontId="0" fillId="0" borderId="0" xfId="0" applyNumberFormat="1"/>
    <xf numFmtId="43" fontId="0" fillId="0" borderId="0" xfId="1" applyFont="1"/>
    <xf numFmtId="43" fontId="0" fillId="0" borderId="0" xfId="1" quotePrefix="1" applyFont="1"/>
    <xf numFmtId="43" fontId="0" fillId="0" borderId="0" xfId="0" applyNumberFormat="1"/>
    <xf numFmtId="10" fontId="0" fillId="0" borderId="0" xfId="2" applyNumberFormat="1" applyFont="1"/>
    <xf numFmtId="0" fontId="0" fillId="2" borderId="0" xfId="0" applyFill="1"/>
    <xf numFmtId="164" fontId="0" fillId="0" borderId="0" xfId="1" applyNumberFormat="1" applyFont="1"/>
    <xf numFmtId="165" fontId="0" fillId="0" borderId="0" xfId="1" applyNumberFormat="1" applyFont="1"/>
    <xf numFmtId="2" fontId="0" fillId="0" borderId="0" xfId="0" applyNumberFormat="1"/>
    <xf numFmtId="15" fontId="0" fillId="0" borderId="0" xfId="0" applyNumberFormat="1"/>
    <xf numFmtId="43" fontId="0" fillId="0" borderId="0" xfId="0" quotePrefix="1" applyNumberFormat="1"/>
    <xf numFmtId="0" fontId="0" fillId="0" borderId="0" xfId="0" applyFill="1"/>
    <xf numFmtId="0" fontId="2" fillId="0" borderId="0" xfId="0" applyFont="1" applyAlignment="1">
      <alignment horizontal="left" vertical="center" readingOrder="1"/>
    </xf>
    <xf numFmtId="166" fontId="0" fillId="0" borderId="0" xfId="0" applyNumberFormat="1"/>
    <xf numFmtId="0" fontId="0" fillId="0" borderId="0" xfId="0" quotePrefix="1"/>
    <xf numFmtId="44" fontId="0" fillId="0" borderId="0" xfId="3" applyFont="1"/>
    <xf numFmtId="8" fontId="0" fillId="0" borderId="0" xfId="0" applyNumberFormat="1"/>
    <xf numFmtId="44" fontId="0" fillId="0" borderId="0" xfId="0" applyNumberFormat="1"/>
    <xf numFmtId="9" fontId="0" fillId="0" borderId="0" xfId="2" applyFont="1"/>
    <xf numFmtId="10" fontId="0" fillId="0" borderId="0" xfId="0" applyNumberFormat="1"/>
    <xf numFmtId="0" fontId="0" fillId="0" borderId="0" xfId="0" applyBorder="1"/>
    <xf numFmtId="0" fontId="0" fillId="0" borderId="0" xfId="0" applyFill="1" applyBorder="1"/>
    <xf numFmtId="0" fontId="0" fillId="0" borderId="0" xfId="0" applyFill="1" applyBorder="1" applyAlignment="1">
      <alignment wrapText="1"/>
    </xf>
    <xf numFmtId="9" fontId="0" fillId="0" borderId="0" xfId="0" applyNumberFormat="1" applyFill="1" applyBorder="1" applyAlignment="1">
      <alignment wrapText="1"/>
    </xf>
    <xf numFmtId="14" fontId="0" fillId="0" borderId="0" xfId="0" applyNumberFormat="1" applyFill="1" applyBorder="1"/>
    <xf numFmtId="9" fontId="0" fillId="0" borderId="0" xfId="0" applyNumberFormat="1" applyFill="1" applyBorder="1"/>
    <xf numFmtId="44" fontId="0" fillId="0" borderId="0" xfId="3" applyFont="1" applyFill="1" applyBorder="1"/>
    <xf numFmtId="43" fontId="0" fillId="0" borderId="0" xfId="1" applyFont="1" applyFill="1" applyBorder="1"/>
    <xf numFmtId="43" fontId="0" fillId="0" borderId="0" xfId="0" applyNumberFormat="1" applyFill="1" applyBorder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400050</xdr:colOff>
      <xdr:row>1</xdr:row>
      <xdr:rowOff>85725</xdr:rowOff>
    </xdr:from>
    <xdr:to>
      <xdr:col>14</xdr:col>
      <xdr:colOff>400050</xdr:colOff>
      <xdr:row>9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667250" y="276225"/>
          <a:ext cx="3657600" cy="1581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fontAlgn="auto" latinLnBrk="0" hangingPunct="1"/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</a:t>
          </a:r>
        </a:p>
        <a:p>
          <a:pPr rtl="0"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   Suppose a bond with a 10% annual coupon rate  has a face value of $1,000, 10 years to maturity and a required rate of return of 8%.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How much would this bond sell for? </a:t>
          </a:r>
        </a:p>
        <a:p>
          <a:pPr rtl="0" eaLnBrk="1" fontAlgn="auto" latinLnBrk="0" hangingPunct="1"/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Now recalculate the market price if the bond was semiannual.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9</xdr:col>
      <xdr:colOff>66675</xdr:colOff>
      <xdr:row>10</xdr:row>
      <xdr:rowOff>66676</xdr:rowOff>
    </xdr:from>
    <xdr:to>
      <xdr:col>14</xdr:col>
      <xdr:colOff>209550</xdr:colOff>
      <xdr:row>17</xdr:row>
      <xdr:rowOff>123826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943475" y="1971676"/>
          <a:ext cx="3190875" cy="139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Today is Feb.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23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2015 and you are considering  a 7% annual coupon bond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with a face value of $1,000 and a maturity date of Feb. 23, 2026. 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 the market price for this bond if the required rate of return on similar risk bonds is 9%?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9</xdr:col>
      <xdr:colOff>171450</xdr:colOff>
      <xdr:row>19</xdr:row>
      <xdr:rowOff>9526</xdr:rowOff>
    </xdr:from>
    <xdr:to>
      <xdr:col>13</xdr:col>
      <xdr:colOff>581025</xdr:colOff>
      <xdr:row>24</xdr:row>
      <xdr:rowOff>28576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048250" y="3629026"/>
          <a:ext cx="2847975" cy="971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Find the value of a </a:t>
          </a:r>
          <a:r>
            <a:rPr lang="en-US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20-year zero-coupon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Treasury bond with a $10,000 par value and a Yield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maturity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6%.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3</xdr:row>
      <xdr:rowOff>152400</xdr:rowOff>
    </xdr:from>
    <xdr:to>
      <xdr:col>14</xdr:col>
      <xdr:colOff>571500</xdr:colOff>
      <xdr:row>15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81675" y="723900"/>
          <a:ext cx="3848100" cy="228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Prepare a graph showing the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effect of changes in the required rate of return on bond price.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Suggested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assumptions to use: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 value = $1,000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Coupon rate = 9%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Frequency = 2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Years to Maturity = 20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1</xdr:row>
      <xdr:rowOff>142874</xdr:rowOff>
    </xdr:from>
    <xdr:to>
      <xdr:col>15</xdr:col>
      <xdr:colOff>552450</xdr:colOff>
      <xdr:row>7</xdr:row>
      <xdr:rowOff>114299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533900" y="333374"/>
          <a:ext cx="5162550" cy="1114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 Suppose a bond with a 10% coupon rate and semiannual coupons, has a face value of $1,000, 20 years to maturity and is selling for $1,197.93.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yield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maturity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Current Yield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Capital Gain/Loss yield</a:t>
          </a:r>
          <a:endParaRPr lang="en-US">
            <a:effectLst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7</xdr:col>
      <xdr:colOff>476250</xdr:colOff>
      <xdr:row>10</xdr:row>
      <xdr:rowOff>152400</xdr:rowOff>
    </xdr:from>
    <xdr:to>
      <xdr:col>14</xdr:col>
      <xdr:colOff>123825</xdr:colOff>
      <xdr:row>16</xdr:row>
      <xdr:rowOff>152400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4743450" y="2057400"/>
          <a:ext cx="3914775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Find the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yield to maturity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a Zero coupon Treasury bond with a $100,000 par and 15 years to maturity  is selling for $17,287. 00 </a:t>
          </a:r>
          <a:endParaRPr lang="en-US">
            <a:effectLst/>
          </a:endParaRPr>
        </a:p>
        <a:p>
          <a:endParaRPr lang="en-US" sz="1100"/>
        </a:p>
        <a:p>
          <a:r>
            <a:rPr lang="en-US" sz="1100"/>
            <a:t>What is the current</a:t>
          </a:r>
          <a:r>
            <a:rPr lang="en-US" sz="1100" baseline="0"/>
            <a:t> yield on the above bod?</a:t>
          </a:r>
          <a:endParaRPr lang="en-US" sz="1100"/>
        </a:p>
      </xdr:txBody>
    </xdr:sp>
    <xdr:clientData/>
  </xdr:twoCellAnchor>
  <xdr:twoCellAnchor>
    <xdr:from>
      <xdr:col>5</xdr:col>
      <xdr:colOff>600075</xdr:colOff>
      <xdr:row>29</xdr:row>
      <xdr:rowOff>19049</xdr:rowOff>
    </xdr:from>
    <xdr:to>
      <xdr:col>13</xdr:col>
      <xdr:colOff>200025</xdr:colOff>
      <xdr:row>38</xdr:row>
      <xdr:rowOff>47624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3857625" y="5543549"/>
          <a:ext cx="4476750" cy="1743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 Today is Feb. 15th 2015. The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XYZ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bonds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has a 5.875% quarterly coupon, $25 Par value.  It matures on Feb. 15, 2043. These bonds are callable on or after Feb. 15, 2019.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These bonds are currently selling at $27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  Calculate YTM (yield to maturity) </a:t>
          </a:r>
        </a:p>
        <a:p>
          <a:r>
            <a:rPr lang="en-US" sz="1100"/>
            <a:t>b) Calculate</a:t>
          </a:r>
          <a:r>
            <a:rPr lang="en-US" sz="1100" baseline="0"/>
            <a:t> YTC if there is a 5% call premium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2</xdr:row>
      <xdr:rowOff>180975</xdr:rowOff>
    </xdr:from>
    <xdr:to>
      <xdr:col>16</xdr:col>
      <xdr:colOff>114300</xdr:colOff>
      <xdr:row>8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6791325" y="561975"/>
          <a:ext cx="4133850" cy="1019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Short term maturity bonds have less interest rate risk than Long term maturity bonds with similar characteristics.</a:t>
          </a:r>
          <a:endParaRPr lang="en-US" sz="1100">
            <a:effectLst/>
          </a:endParaRPr>
        </a:p>
        <a:p>
          <a:endParaRPr lang="en-US" sz="1100"/>
        </a:p>
        <a:p>
          <a:r>
            <a:rPr lang="en-US" sz="1100"/>
            <a:t>Graphically</a:t>
          </a:r>
          <a:r>
            <a:rPr lang="en-US" sz="1100" baseline="0"/>
            <a:t> show how the price of each bond change as the YTM changes.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2</xdr:row>
      <xdr:rowOff>104775</xdr:rowOff>
    </xdr:from>
    <xdr:to>
      <xdr:col>16</xdr:col>
      <xdr:colOff>400050</xdr:colOff>
      <xdr:row>13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667375" y="485775"/>
          <a:ext cx="6686550" cy="2028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Accrued interest- Quoted vs price paid: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Suppose you are going to buy the XYZ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bond on Oct  3rd, 2013. You call a bond dealer, who quotes you a price of 105 for the bond This bond has a par value of $1,000, annual coupon rate of 7% and maturity date of Dec. 15, 2030. (paying interest on Dec 15 of each year)</a:t>
          </a:r>
        </a:p>
        <a:p>
          <a:endParaRPr lang="en-US">
            <a:effectLst/>
          </a:endParaRPr>
        </a:p>
        <a:p>
          <a:pPr eaLnBrk="1" fontAlgn="auto" latinLnBrk="0" hangingPunct="1"/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  Calculate Accrued interest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 Accrued price on  Oct. 3, 2013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eaLnBrk="1" fontAlgn="auto" latinLnBrk="0" hangingPunct="1"/>
          <a:endParaRPr lang="en-US">
            <a:effectLst/>
          </a:endParaRP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2</xdr:row>
      <xdr:rowOff>152400</xdr:rowOff>
    </xdr:from>
    <xdr:to>
      <xdr:col>19</xdr:col>
      <xdr:colOff>371475</xdr:colOff>
      <xdr:row>10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8315325" y="533400"/>
          <a:ext cx="4038600" cy="1457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High-coupon bonds are less sensitive to changes in yields than are low coupon bonds</a:t>
          </a:r>
          <a:endParaRPr lang="en-US">
            <a:effectLst/>
          </a:endParaRPr>
        </a:p>
        <a:p>
          <a:endParaRPr lang="en-US" sz="1100"/>
        </a:p>
        <a:p>
          <a:r>
            <a:rPr lang="en-US" sz="1100"/>
            <a:t>Graph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24</xdr:col>
      <xdr:colOff>590550</xdr:colOff>
      <xdr:row>12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0477500" y="381000"/>
          <a:ext cx="6686550" cy="2028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effectLst/>
            </a:rPr>
            <a:t>Accrued interest- Quoted vs price paid:</a:t>
          </a:r>
        </a:p>
        <a:p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Suppose you are going to buy the XYZ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bond on Oct  3rd, 2013. You call a bond dealer, who quotes you a price of $1,050 for the bond This bond has annual coupon rate of 7% and maturity date of Dec. 15, 2030. (paying interest on Dec 15 of each year)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YTM on this bond?  (Yield function will adjust for accrued interest)</a:t>
          </a:r>
          <a:endParaRPr lang="en-US">
            <a:effectLst/>
          </a:endParaRP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Calculate Accrued interest and Accrued price on  Oct. 3, 2013.</a:t>
          </a:r>
          <a:endParaRPr lang="en-US">
            <a:solidFill>
              <a:srgbClr val="FF0000"/>
            </a:solidFill>
            <a:effectLst/>
          </a:endParaRP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161925</xdr:colOff>
      <xdr:row>3</xdr:row>
      <xdr:rowOff>66675</xdr:rowOff>
    </xdr:from>
    <xdr:to>
      <xdr:col>21</xdr:col>
      <xdr:colOff>142875</xdr:colOff>
      <xdr:row>14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8562975" y="638175"/>
          <a:ext cx="6686550" cy="2028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effectLst/>
            </a:rPr>
            <a:t>Accrued interest- Quoted vs price paid:</a:t>
          </a:r>
        </a:p>
        <a:p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Suppose you are going to buy the XYZ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bond on Oct  3rd, 2013. You call a bond dealer, who quotes you a price of $1,050 for the bond This bond has annual coupon rate of 7% and maturity date of Dec. 15, 2030. (paying interest on Dec 15 of each year)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YTM on this bond?  (Yield function will adjust for accrued interest)</a:t>
          </a:r>
          <a:endParaRPr lang="en-US">
            <a:effectLst/>
          </a:endParaRP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Calculate Accrued interest and Accrued price on  Oct. 3, 2013.</a:t>
          </a:r>
          <a:endParaRPr lang="en-US">
            <a:solidFill>
              <a:srgbClr val="FF0000"/>
            </a:solidFill>
            <a:effectLst/>
          </a:endParaRP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2:O44"/>
  <sheetViews>
    <sheetView workbookViewId="0"/>
  </sheetViews>
  <sheetFormatPr defaultRowHeight="15" x14ac:dyDescent="0.25"/>
  <cols>
    <col min="3" max="3" width="10.5703125" bestFit="1" customWidth="1"/>
  </cols>
  <sheetData>
    <row r="2" spans="3:3" x14ac:dyDescent="0.25">
      <c r="C2" s="2"/>
    </row>
    <row r="3" spans="3:3" x14ac:dyDescent="0.25">
      <c r="C3" s="2"/>
    </row>
    <row r="5" spans="3:3" x14ac:dyDescent="0.25">
      <c r="C5" s="1"/>
    </row>
    <row r="6" spans="3:3" x14ac:dyDescent="0.25">
      <c r="C6" s="1"/>
    </row>
    <row r="8" spans="3:3" x14ac:dyDescent="0.25">
      <c r="C8" s="17"/>
    </row>
    <row r="11" spans="3:3" x14ac:dyDescent="0.25">
      <c r="C11" s="18"/>
    </row>
    <row r="14" spans="3:3" x14ac:dyDescent="0.25">
      <c r="C14" s="17"/>
    </row>
    <row r="15" spans="3:3" x14ac:dyDescent="0.25">
      <c r="C15" s="18"/>
    </row>
    <row r="17" spans="3:3" x14ac:dyDescent="0.25">
      <c r="C17" s="2"/>
    </row>
    <row r="18" spans="3:3" x14ac:dyDescent="0.25">
      <c r="C18" s="2"/>
    </row>
    <row r="19" spans="3:3" x14ac:dyDescent="0.25">
      <c r="C19" s="1"/>
    </row>
    <row r="21" spans="3:3" x14ac:dyDescent="0.25">
      <c r="C21" s="1"/>
    </row>
    <row r="23" spans="3:3" x14ac:dyDescent="0.25">
      <c r="C23" s="17"/>
    </row>
    <row r="25" spans="3:3" x14ac:dyDescent="0.25">
      <c r="C25" s="2"/>
    </row>
    <row r="26" spans="3:3" x14ac:dyDescent="0.25">
      <c r="C26" s="2"/>
    </row>
    <row r="27" spans="3:3" x14ac:dyDescent="0.25">
      <c r="C27" s="1"/>
    </row>
    <row r="29" spans="3:3" x14ac:dyDescent="0.25">
      <c r="C29" s="1"/>
    </row>
    <row r="33" spans="3:15" x14ac:dyDescent="0.25">
      <c r="C33" s="17"/>
    </row>
    <row r="44" spans="3:15" ht="23.25" x14ac:dyDescent="0.25">
      <c r="O44" s="14" t="s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30"/>
  <sheetViews>
    <sheetView zoomScaleNormal="100" workbookViewId="0">
      <selection activeCell="H8" sqref="H8"/>
    </sheetView>
  </sheetViews>
  <sheetFormatPr defaultRowHeight="15" x14ac:dyDescent="0.25"/>
  <cols>
    <col min="1" max="1" width="16.5703125" bestFit="1" customWidth="1"/>
    <col min="2" max="2" width="13.85546875" customWidth="1"/>
  </cols>
  <sheetData>
    <row r="1" spans="1:2" x14ac:dyDescent="0.25">
      <c r="A1" s="13"/>
      <c r="B1" s="2"/>
    </row>
    <row r="2" spans="1:2" x14ac:dyDescent="0.25">
      <c r="B2" s="2"/>
    </row>
    <row r="3" spans="1:2" x14ac:dyDescent="0.25">
      <c r="B3" s="2"/>
    </row>
    <row r="4" spans="1:2" x14ac:dyDescent="0.25">
      <c r="B4" s="1"/>
    </row>
    <row r="5" spans="1:2" x14ac:dyDescent="0.25">
      <c r="B5" s="17"/>
    </row>
    <row r="6" spans="1:2" x14ac:dyDescent="0.25">
      <c r="B6" s="3"/>
    </row>
    <row r="7" spans="1:2" x14ac:dyDescent="0.25">
      <c r="B7" s="19"/>
    </row>
    <row r="10" spans="1:2" x14ac:dyDescent="0.25">
      <c r="A10" s="1"/>
      <c r="B10" s="17"/>
    </row>
    <row r="11" spans="1:2" x14ac:dyDescent="0.25">
      <c r="A11" s="1"/>
      <c r="B11" s="17"/>
    </row>
    <row r="12" spans="1:2" x14ac:dyDescent="0.25">
      <c r="A12" s="1"/>
      <c r="B12" s="17"/>
    </row>
    <row r="13" spans="1:2" x14ac:dyDescent="0.25">
      <c r="A13" s="1"/>
      <c r="B13" s="17"/>
    </row>
    <row r="14" spans="1:2" x14ac:dyDescent="0.25">
      <c r="A14" s="1"/>
      <c r="B14" s="17"/>
    </row>
    <row r="15" spans="1:2" x14ac:dyDescent="0.25">
      <c r="A15" s="1"/>
      <c r="B15" s="17"/>
    </row>
    <row r="16" spans="1:2" x14ac:dyDescent="0.25">
      <c r="A16" s="1"/>
      <c r="B16" s="17"/>
    </row>
    <row r="17" spans="1:2" x14ac:dyDescent="0.25">
      <c r="A17" s="1"/>
      <c r="B17" s="17"/>
    </row>
    <row r="18" spans="1:2" x14ac:dyDescent="0.25">
      <c r="A18" s="1"/>
      <c r="B18" s="17"/>
    </row>
    <row r="19" spans="1:2" x14ac:dyDescent="0.25">
      <c r="A19" s="1"/>
      <c r="B19" s="17"/>
    </row>
    <row r="20" spans="1:2" x14ac:dyDescent="0.25">
      <c r="A20" s="1"/>
      <c r="B20" s="17"/>
    </row>
    <row r="21" spans="1:2" x14ac:dyDescent="0.25">
      <c r="A21" s="1"/>
      <c r="B21" s="17"/>
    </row>
    <row r="22" spans="1:2" x14ac:dyDescent="0.25">
      <c r="A22" s="1"/>
      <c r="B22" s="17"/>
    </row>
    <row r="23" spans="1:2" x14ac:dyDescent="0.25">
      <c r="A23" s="1"/>
      <c r="B23" s="17"/>
    </row>
    <row r="24" spans="1:2" x14ac:dyDescent="0.25">
      <c r="A24" s="1"/>
      <c r="B24" s="17"/>
    </row>
    <row r="25" spans="1:2" x14ac:dyDescent="0.25">
      <c r="A25" s="1"/>
      <c r="B25" s="17"/>
    </row>
    <row r="26" spans="1:2" x14ac:dyDescent="0.25">
      <c r="A26" s="1"/>
      <c r="B26" s="17"/>
    </row>
    <row r="27" spans="1:2" x14ac:dyDescent="0.25">
      <c r="A27" s="1"/>
      <c r="B27" s="17"/>
    </row>
    <row r="28" spans="1:2" x14ac:dyDescent="0.25">
      <c r="A28" s="1"/>
      <c r="B28" s="17"/>
    </row>
    <row r="29" spans="1:2" x14ac:dyDescent="0.25">
      <c r="A29" s="1"/>
      <c r="B29" s="17"/>
    </row>
    <row r="30" spans="1:2" x14ac:dyDescent="0.25">
      <c r="A30" s="1"/>
      <c r="B30" s="1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E44"/>
  <sheetViews>
    <sheetView topLeftCell="A23" workbookViewId="0">
      <selection activeCell="F29" sqref="F29"/>
    </sheetView>
  </sheetViews>
  <sheetFormatPr defaultRowHeight="15" x14ac:dyDescent="0.25"/>
  <cols>
    <col min="2" max="2" width="12.28515625" bestFit="1" customWidth="1"/>
    <col min="3" max="3" width="9.7109375" bestFit="1" customWidth="1"/>
  </cols>
  <sheetData>
    <row r="2" spans="3:3" x14ac:dyDescent="0.25">
      <c r="C2" s="2"/>
    </row>
    <row r="3" spans="3:3" x14ac:dyDescent="0.25">
      <c r="C3" s="2"/>
    </row>
    <row r="5" spans="3:3" x14ac:dyDescent="0.25">
      <c r="C5" s="1"/>
    </row>
    <row r="11" spans="3:3" x14ac:dyDescent="0.25">
      <c r="C11" s="6"/>
    </row>
    <row r="12" spans="3:3" x14ac:dyDescent="0.25">
      <c r="C12" s="1"/>
    </row>
    <row r="14" spans="3:3" x14ac:dyDescent="0.25">
      <c r="C14" s="6"/>
    </row>
    <row r="16" spans="3:3" x14ac:dyDescent="0.25">
      <c r="C16" s="21"/>
    </row>
    <row r="19" spans="3:3" x14ac:dyDescent="0.25">
      <c r="C19" s="2"/>
    </row>
    <row r="20" spans="3:3" x14ac:dyDescent="0.25">
      <c r="C20" s="2"/>
    </row>
    <row r="23" spans="3:3" x14ac:dyDescent="0.25">
      <c r="C23" s="1"/>
    </row>
    <row r="27" spans="3:3" x14ac:dyDescent="0.25">
      <c r="C27" s="6"/>
    </row>
    <row r="28" spans="3:3" x14ac:dyDescent="0.25">
      <c r="C28" s="20"/>
    </row>
    <row r="29" spans="3:3" x14ac:dyDescent="0.25">
      <c r="C29" s="21"/>
    </row>
    <row r="31" spans="3:3" x14ac:dyDescent="0.25">
      <c r="C31" s="2"/>
    </row>
    <row r="32" spans="3:3" x14ac:dyDescent="0.25">
      <c r="C32" s="2"/>
    </row>
    <row r="33" spans="1:5" x14ac:dyDescent="0.25">
      <c r="C33" s="21"/>
    </row>
    <row r="34" spans="1:5" x14ac:dyDescent="0.25">
      <c r="A34" s="22"/>
      <c r="B34" s="22"/>
      <c r="C34" s="22"/>
      <c r="D34" s="22"/>
      <c r="E34" s="22"/>
    </row>
    <row r="35" spans="1:5" x14ac:dyDescent="0.25">
      <c r="A35" s="22"/>
      <c r="B35" s="22"/>
      <c r="C35" s="22"/>
      <c r="D35" s="22"/>
      <c r="E35" s="22"/>
    </row>
    <row r="36" spans="1:5" x14ac:dyDescent="0.25">
      <c r="A36" s="22"/>
      <c r="B36" s="22"/>
      <c r="C36" s="22"/>
      <c r="D36" s="22"/>
      <c r="E36" s="22"/>
    </row>
    <row r="37" spans="1:5" x14ac:dyDescent="0.25">
      <c r="A37" s="22"/>
      <c r="B37" s="22"/>
      <c r="C37" s="22"/>
      <c r="D37" s="22"/>
      <c r="E37" s="22"/>
    </row>
    <row r="38" spans="1:5" x14ac:dyDescent="0.25">
      <c r="A38" s="22"/>
      <c r="B38" s="22"/>
      <c r="C38" s="22"/>
      <c r="D38" s="22"/>
      <c r="E38" s="22"/>
    </row>
    <row r="39" spans="1:5" x14ac:dyDescent="0.25">
      <c r="A39" s="22"/>
      <c r="B39" s="22"/>
      <c r="C39" s="22"/>
      <c r="D39" s="22"/>
      <c r="E39" s="22"/>
    </row>
    <row r="40" spans="1:5" x14ac:dyDescent="0.25">
      <c r="A40" s="22"/>
      <c r="B40" s="22"/>
      <c r="C40" s="22"/>
      <c r="D40" s="22"/>
      <c r="E40" s="22"/>
    </row>
    <row r="41" spans="1:5" x14ac:dyDescent="0.25">
      <c r="A41" s="22"/>
      <c r="B41" s="22"/>
      <c r="C41" s="22"/>
      <c r="D41" s="22"/>
      <c r="E41" s="22"/>
    </row>
    <row r="42" spans="1:5" x14ac:dyDescent="0.25">
      <c r="A42" s="22"/>
      <c r="B42" s="22"/>
      <c r="C42" s="22"/>
      <c r="D42" s="22"/>
      <c r="E42" s="22"/>
    </row>
    <row r="43" spans="1:5" x14ac:dyDescent="0.25">
      <c r="C43" s="1"/>
    </row>
    <row r="44" spans="1:5" x14ac:dyDescent="0.25">
      <c r="C44" s="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22"/>
  <sheetViews>
    <sheetView workbookViewId="0">
      <selection activeCell="C12" sqref="C12"/>
    </sheetView>
  </sheetViews>
  <sheetFormatPr defaultRowHeight="15" x14ac:dyDescent="0.25"/>
  <cols>
    <col min="1" max="1" width="24.5703125" style="23" bestFit="1" customWidth="1"/>
    <col min="2" max="2" width="9.5703125" style="23" bestFit="1" customWidth="1"/>
    <col min="3" max="4" width="9.140625" style="23"/>
    <col min="5" max="6" width="10.5703125" style="23" bestFit="1" customWidth="1"/>
    <col min="7" max="7" width="9.140625" style="23"/>
    <col min="8" max="8" width="9.140625" style="13"/>
  </cols>
  <sheetData>
    <row r="1" spans="2:6" x14ac:dyDescent="0.25">
      <c r="D1" s="24"/>
      <c r="E1" s="24"/>
      <c r="F1" s="25"/>
    </row>
    <row r="2" spans="2:6" x14ac:dyDescent="0.25">
      <c r="B2" s="26"/>
      <c r="D2" s="27"/>
      <c r="E2" s="28"/>
      <c r="F2" s="28"/>
    </row>
    <row r="3" spans="2:6" x14ac:dyDescent="0.25">
      <c r="B3" s="26"/>
      <c r="D3" s="27"/>
      <c r="E3" s="28"/>
      <c r="F3" s="28"/>
    </row>
    <row r="4" spans="2:6" x14ac:dyDescent="0.25">
      <c r="B4" s="27"/>
      <c r="D4" s="27"/>
      <c r="E4" s="28"/>
      <c r="F4" s="28"/>
    </row>
    <row r="5" spans="2:6" x14ac:dyDescent="0.25">
      <c r="D5" s="27"/>
      <c r="E5" s="28"/>
      <c r="F5" s="28"/>
    </row>
    <row r="6" spans="2:6" x14ac:dyDescent="0.25">
      <c r="B6" s="29"/>
      <c r="D6" s="27"/>
      <c r="E6" s="28"/>
      <c r="F6" s="28"/>
    </row>
    <row r="7" spans="2:6" x14ac:dyDescent="0.25">
      <c r="B7" s="29"/>
      <c r="D7" s="27"/>
      <c r="E7" s="28"/>
      <c r="F7" s="28"/>
    </row>
    <row r="8" spans="2:6" x14ac:dyDescent="0.25">
      <c r="B8" s="29"/>
      <c r="D8" s="27"/>
      <c r="E8" s="28"/>
      <c r="F8" s="28"/>
    </row>
    <row r="9" spans="2:6" x14ac:dyDescent="0.25">
      <c r="D9" s="27"/>
      <c r="E9" s="28"/>
      <c r="F9" s="28"/>
    </row>
    <row r="10" spans="2:6" x14ac:dyDescent="0.25">
      <c r="D10" s="27"/>
      <c r="E10" s="28"/>
      <c r="F10" s="28"/>
    </row>
    <row r="11" spans="2:6" x14ac:dyDescent="0.25">
      <c r="B11" s="26"/>
      <c r="D11" s="27"/>
      <c r="E11" s="28"/>
      <c r="F11" s="28"/>
    </row>
    <row r="12" spans="2:6" x14ac:dyDescent="0.25">
      <c r="B12" s="26"/>
      <c r="D12" s="27"/>
      <c r="E12" s="28"/>
      <c r="F12" s="28"/>
    </row>
    <row r="13" spans="2:6" x14ac:dyDescent="0.25">
      <c r="B13" s="27"/>
      <c r="D13" s="27"/>
      <c r="E13" s="28"/>
      <c r="F13" s="28"/>
    </row>
    <row r="14" spans="2:6" x14ac:dyDescent="0.25">
      <c r="D14" s="27"/>
      <c r="E14" s="28"/>
      <c r="F14" s="28"/>
    </row>
    <row r="15" spans="2:6" x14ac:dyDescent="0.25">
      <c r="B15" s="29"/>
      <c r="D15" s="27"/>
      <c r="E15" s="28"/>
      <c r="F15" s="28"/>
    </row>
    <row r="16" spans="2:6" x14ac:dyDescent="0.25">
      <c r="B16" s="30"/>
      <c r="D16" s="27"/>
      <c r="E16" s="28"/>
      <c r="F16" s="28"/>
    </row>
    <row r="17" spans="4:6" x14ac:dyDescent="0.25">
      <c r="D17" s="27"/>
      <c r="E17" s="28"/>
      <c r="F17" s="28"/>
    </row>
    <row r="18" spans="4:6" x14ac:dyDescent="0.25">
      <c r="D18" s="27"/>
      <c r="E18" s="28"/>
      <c r="F18" s="28"/>
    </row>
    <row r="19" spans="4:6" x14ac:dyDescent="0.25">
      <c r="D19" s="27"/>
      <c r="E19" s="28"/>
      <c r="F19" s="28"/>
    </row>
    <row r="20" spans="4:6" x14ac:dyDescent="0.25">
      <c r="D20" s="27"/>
      <c r="E20" s="28"/>
      <c r="F20" s="28"/>
    </row>
    <row r="21" spans="4:6" x14ac:dyDescent="0.25">
      <c r="D21" s="27"/>
      <c r="E21" s="28"/>
      <c r="F21" s="28"/>
    </row>
    <row r="22" spans="4:6" x14ac:dyDescent="0.25">
      <c r="D22" s="27"/>
      <c r="E22" s="28"/>
      <c r="F22" s="2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B2:E14"/>
  <sheetViews>
    <sheetView tabSelected="1" workbookViewId="0">
      <selection activeCell="A8" sqref="A8"/>
    </sheetView>
  </sheetViews>
  <sheetFormatPr defaultRowHeight="15" x14ac:dyDescent="0.25"/>
  <cols>
    <col min="1" max="1" width="40.5703125" bestFit="1" customWidth="1"/>
    <col min="2" max="2" width="10.7109375" bestFit="1" customWidth="1"/>
  </cols>
  <sheetData>
    <row r="2" spans="2:5" x14ac:dyDescent="0.25">
      <c r="B2" s="2"/>
    </row>
    <row r="3" spans="2:5" x14ac:dyDescent="0.25">
      <c r="B3" s="2"/>
    </row>
    <row r="6" spans="2:5" x14ac:dyDescent="0.25">
      <c r="B6" s="1"/>
    </row>
    <row r="8" spans="2:5" x14ac:dyDescent="0.25">
      <c r="B8" s="2"/>
    </row>
    <row r="9" spans="2:5" x14ac:dyDescent="0.25">
      <c r="B9" s="2"/>
    </row>
    <row r="14" spans="2:5" x14ac:dyDescent="0.25">
      <c r="E14" s="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C28"/>
  <sheetViews>
    <sheetView workbookViewId="0">
      <selection activeCell="I39" sqref="I39"/>
    </sheetView>
  </sheetViews>
  <sheetFormatPr defaultRowHeight="15" x14ac:dyDescent="0.25"/>
  <cols>
    <col min="1" max="3" width="14.5703125" customWidth="1"/>
    <col min="5" max="5" width="11.85546875" customWidth="1"/>
  </cols>
  <sheetData>
    <row r="1" spans="1:2" x14ac:dyDescent="0.25">
      <c r="A1" s="7" t="s">
        <v>7</v>
      </c>
      <c r="B1" s="7"/>
    </row>
    <row r="2" spans="1:2" x14ac:dyDescent="0.25">
      <c r="A2" t="s">
        <v>5</v>
      </c>
      <c r="B2" s="2">
        <v>36526</v>
      </c>
    </row>
    <row r="3" spans="1:2" x14ac:dyDescent="0.25">
      <c r="A3" t="s">
        <v>6</v>
      </c>
      <c r="B3" s="2">
        <v>47484</v>
      </c>
    </row>
    <row r="4" spans="1:2" x14ac:dyDescent="0.25">
      <c r="A4" t="s">
        <v>4</v>
      </c>
      <c r="B4" s="1">
        <v>0.03</v>
      </c>
    </row>
    <row r="5" spans="1:2" x14ac:dyDescent="0.25">
      <c r="A5" t="s">
        <v>8</v>
      </c>
      <c r="B5">
        <v>2</v>
      </c>
    </row>
    <row r="6" spans="1:2" x14ac:dyDescent="0.25">
      <c r="A6" t="s">
        <v>11</v>
      </c>
      <c r="B6" s="3">
        <v>1000</v>
      </c>
    </row>
    <row r="7" spans="1:2" x14ac:dyDescent="0.25">
      <c r="B7" s="1"/>
    </row>
    <row r="8" spans="1:2" x14ac:dyDescent="0.25">
      <c r="A8" t="s">
        <v>10</v>
      </c>
      <c r="B8" s="3" t="s">
        <v>10</v>
      </c>
    </row>
    <row r="10" spans="1:2" x14ac:dyDescent="0.25">
      <c r="A10" s="7" t="s">
        <v>9</v>
      </c>
      <c r="B10" s="7"/>
    </row>
    <row r="11" spans="1:2" x14ac:dyDescent="0.25">
      <c r="A11" t="s">
        <v>5</v>
      </c>
      <c r="B11" s="2">
        <v>36526</v>
      </c>
    </row>
    <row r="12" spans="1:2" x14ac:dyDescent="0.25">
      <c r="A12" t="s">
        <v>6</v>
      </c>
      <c r="B12" s="2">
        <v>47484</v>
      </c>
    </row>
    <row r="13" spans="1:2" x14ac:dyDescent="0.25">
      <c r="A13" t="s">
        <v>4</v>
      </c>
      <c r="B13" s="1">
        <v>0.15</v>
      </c>
    </row>
    <row r="14" spans="1:2" x14ac:dyDescent="0.25">
      <c r="A14" t="s">
        <v>8</v>
      </c>
      <c r="B14">
        <v>2</v>
      </c>
    </row>
    <row r="15" spans="1:2" x14ac:dyDescent="0.25">
      <c r="A15" t="s">
        <v>2</v>
      </c>
      <c r="B15" s="3">
        <v>1000</v>
      </c>
    </row>
    <row r="19" spans="1:3" x14ac:dyDescent="0.25">
      <c r="A19" s="1"/>
      <c r="B19" s="3"/>
      <c r="C19" s="3"/>
    </row>
    <row r="20" spans="1:3" x14ac:dyDescent="0.25">
      <c r="A20" s="1"/>
      <c r="B20" s="3"/>
      <c r="C20" s="3"/>
    </row>
    <row r="21" spans="1:3" x14ac:dyDescent="0.25">
      <c r="A21" s="1"/>
      <c r="B21" s="3"/>
      <c r="C21" s="3"/>
    </row>
    <row r="22" spans="1:3" x14ac:dyDescent="0.25">
      <c r="A22" s="1"/>
      <c r="B22" s="3"/>
      <c r="C22" s="3"/>
    </row>
    <row r="23" spans="1:3" x14ac:dyDescent="0.25">
      <c r="A23" s="1"/>
      <c r="B23" s="3"/>
      <c r="C23" s="3"/>
    </row>
    <row r="24" spans="1:3" x14ac:dyDescent="0.25">
      <c r="A24" s="1"/>
      <c r="B24" s="3"/>
      <c r="C24" s="3"/>
    </row>
    <row r="25" spans="1:3" x14ac:dyDescent="0.25">
      <c r="A25" s="1"/>
      <c r="B25" s="3"/>
      <c r="C25" s="3"/>
    </row>
    <row r="26" spans="1:3" x14ac:dyDescent="0.25">
      <c r="A26" s="1"/>
      <c r="B26" s="3"/>
      <c r="C26" s="3"/>
    </row>
    <row r="27" spans="1:3" x14ac:dyDescent="0.25">
      <c r="A27" s="1"/>
      <c r="B27" s="3"/>
      <c r="C27" s="3"/>
    </row>
    <row r="28" spans="1:3" x14ac:dyDescent="0.25">
      <c r="A28" s="1"/>
      <c r="B28" s="3"/>
      <c r="C28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A14"/>
  <sheetViews>
    <sheetView workbookViewId="0">
      <selection activeCell="M12" sqref="M12"/>
    </sheetView>
  </sheetViews>
  <sheetFormatPr defaultRowHeight="15" x14ac:dyDescent="0.25"/>
  <cols>
    <col min="1" max="1" width="38.28515625" customWidth="1"/>
  </cols>
  <sheetData>
    <row r="1" spans="1:1" x14ac:dyDescent="0.25">
      <c r="A1" t="s">
        <v>13</v>
      </c>
    </row>
    <row r="2" spans="1:1" x14ac:dyDescent="0.25">
      <c r="A2" t="s">
        <v>3</v>
      </c>
    </row>
    <row r="3" spans="1:1" x14ac:dyDescent="0.25">
      <c r="A3" t="s">
        <v>14</v>
      </c>
    </row>
    <row r="4" spans="1:1" x14ac:dyDescent="0.25">
      <c r="A4" t="s">
        <v>0</v>
      </c>
    </row>
    <row r="6" spans="1:1" x14ac:dyDescent="0.25">
      <c r="A6" t="s">
        <v>15</v>
      </c>
    </row>
    <row r="7" spans="1:1" x14ac:dyDescent="0.25">
      <c r="A7" t="s">
        <v>23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19</v>
      </c>
    </row>
    <row r="12" spans="1:1" x14ac:dyDescent="0.25">
      <c r="A12" t="s">
        <v>20</v>
      </c>
    </row>
    <row r="13" spans="1:1" x14ac:dyDescent="0.25">
      <c r="A13" t="s">
        <v>22</v>
      </c>
    </row>
    <row r="14" spans="1:1" x14ac:dyDescent="0.25">
      <c r="A14" t="s">
        <v>21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3:K47"/>
  <sheetViews>
    <sheetView workbookViewId="0">
      <selection activeCell="J33" sqref="J33"/>
    </sheetView>
  </sheetViews>
  <sheetFormatPr defaultRowHeight="15" x14ac:dyDescent="0.25"/>
  <cols>
    <col min="1" max="1" width="36.7109375" customWidth="1"/>
    <col min="2" max="2" width="10.28515625" bestFit="1" customWidth="1"/>
  </cols>
  <sheetData>
    <row r="3" spans="1:7" x14ac:dyDescent="0.25">
      <c r="A3" t="s">
        <v>12</v>
      </c>
      <c r="B3" s="3">
        <v>1000</v>
      </c>
    </row>
    <row r="4" spans="1:7" x14ac:dyDescent="0.25">
      <c r="A4" t="s">
        <v>13</v>
      </c>
      <c r="B4" s="3">
        <v>1050</v>
      </c>
    </row>
    <row r="5" spans="1:7" x14ac:dyDescent="0.25">
      <c r="A5" t="s">
        <v>3</v>
      </c>
      <c r="B5" s="1">
        <v>7.0000000000000007E-2</v>
      </c>
    </row>
    <row r="6" spans="1:7" x14ac:dyDescent="0.25">
      <c r="A6" t="s">
        <v>14</v>
      </c>
      <c r="B6" s="8">
        <v>1</v>
      </c>
    </row>
    <row r="7" spans="1:7" x14ac:dyDescent="0.25">
      <c r="A7" t="s">
        <v>0</v>
      </c>
      <c r="B7" s="9">
        <v>47832</v>
      </c>
    </row>
    <row r="9" spans="1:7" x14ac:dyDescent="0.25">
      <c r="A9" t="s">
        <v>15</v>
      </c>
      <c r="B9" s="10">
        <v>70</v>
      </c>
    </row>
    <row r="10" spans="1:7" x14ac:dyDescent="0.25">
      <c r="A10" t="s">
        <v>23</v>
      </c>
      <c r="B10" s="11">
        <v>41550</v>
      </c>
    </row>
    <row r="11" spans="1:7" x14ac:dyDescent="0.25">
      <c r="A11" t="s">
        <v>16</v>
      </c>
      <c r="B11" s="11">
        <v>41258</v>
      </c>
    </row>
    <row r="12" spans="1:7" x14ac:dyDescent="0.25">
      <c r="A12" t="s">
        <v>17</v>
      </c>
      <c r="B12" s="4">
        <f>B10-B11</f>
        <v>292</v>
      </c>
    </row>
    <row r="13" spans="1:7" x14ac:dyDescent="0.25">
      <c r="A13" t="s">
        <v>18</v>
      </c>
      <c r="B13" s="11">
        <v>41623</v>
      </c>
    </row>
    <row r="14" spans="1:7" x14ac:dyDescent="0.25">
      <c r="A14" t="s">
        <v>19</v>
      </c>
      <c r="B14" s="4">
        <f>B13-B11</f>
        <v>365</v>
      </c>
    </row>
    <row r="15" spans="1:7" x14ac:dyDescent="0.25">
      <c r="A15" t="s">
        <v>20</v>
      </c>
      <c r="B15">
        <f>B12/B14</f>
        <v>0.8</v>
      </c>
    </row>
    <row r="16" spans="1:7" x14ac:dyDescent="0.25">
      <c r="A16" t="s">
        <v>22</v>
      </c>
      <c r="B16" s="4">
        <f>B9*B15</f>
        <v>56</v>
      </c>
      <c r="G16" t="s">
        <v>29</v>
      </c>
    </row>
    <row r="17" spans="1:11" x14ac:dyDescent="0.25">
      <c r="A17" t="s">
        <v>21</v>
      </c>
      <c r="B17" s="12">
        <f>B4+B16</f>
        <v>1106</v>
      </c>
      <c r="G17" s="16">
        <f>ACCRINT(B11,B13,B10,B5,B3,1)</f>
        <v>56</v>
      </c>
      <c r="K17" s="16" t="s">
        <v>28</v>
      </c>
    </row>
    <row r="21" spans="1:11" x14ac:dyDescent="0.25">
      <c r="A21" t="s">
        <v>1</v>
      </c>
      <c r="B21" s="6">
        <f>YIELD(B10,B7,B5,105,100,1)</f>
        <v>6.5050099535483033E-2</v>
      </c>
    </row>
    <row r="23" spans="1:11" x14ac:dyDescent="0.25">
      <c r="A23" t="s">
        <v>25</v>
      </c>
    </row>
    <row r="25" spans="1:11" x14ac:dyDescent="0.25">
      <c r="A25" t="s">
        <v>26</v>
      </c>
      <c r="B25" t="s">
        <v>24</v>
      </c>
    </row>
    <row r="26" spans="1:11" x14ac:dyDescent="0.25">
      <c r="A26" s="15">
        <f>B10</f>
        <v>41550</v>
      </c>
      <c r="B26" s="5">
        <f>-B17</f>
        <v>-1106</v>
      </c>
    </row>
    <row r="27" spans="1:11" x14ac:dyDescent="0.25">
      <c r="A27" s="15">
        <f>B13</f>
        <v>41623</v>
      </c>
      <c r="B27" s="5">
        <f>$B$9</f>
        <v>70</v>
      </c>
    </row>
    <row r="28" spans="1:11" x14ac:dyDescent="0.25">
      <c r="A28" s="15">
        <v>41988</v>
      </c>
      <c r="B28" s="5">
        <f t="shared" ref="B28:B43" si="0">$B$9</f>
        <v>70</v>
      </c>
    </row>
    <row r="29" spans="1:11" x14ac:dyDescent="0.25">
      <c r="A29" s="15">
        <v>42353</v>
      </c>
      <c r="B29" s="5">
        <f t="shared" si="0"/>
        <v>70</v>
      </c>
    </row>
    <row r="30" spans="1:11" x14ac:dyDescent="0.25">
      <c r="A30" s="15">
        <v>42719</v>
      </c>
      <c r="B30" s="5">
        <f t="shared" si="0"/>
        <v>70</v>
      </c>
    </row>
    <row r="31" spans="1:11" x14ac:dyDescent="0.25">
      <c r="A31" s="15">
        <v>43084</v>
      </c>
      <c r="B31" s="5">
        <f t="shared" si="0"/>
        <v>70</v>
      </c>
    </row>
    <row r="32" spans="1:11" x14ac:dyDescent="0.25">
      <c r="A32" s="15">
        <v>43449</v>
      </c>
      <c r="B32" s="5">
        <f t="shared" si="0"/>
        <v>70</v>
      </c>
    </row>
    <row r="33" spans="1:2" x14ac:dyDescent="0.25">
      <c r="A33" s="15">
        <v>43814</v>
      </c>
      <c r="B33" s="5">
        <f t="shared" si="0"/>
        <v>70</v>
      </c>
    </row>
    <row r="34" spans="1:2" x14ac:dyDescent="0.25">
      <c r="A34" s="15">
        <v>44180</v>
      </c>
      <c r="B34" s="5">
        <f t="shared" si="0"/>
        <v>70</v>
      </c>
    </row>
    <row r="35" spans="1:2" x14ac:dyDescent="0.25">
      <c r="A35" s="15">
        <v>44545</v>
      </c>
      <c r="B35" s="5">
        <f t="shared" si="0"/>
        <v>70</v>
      </c>
    </row>
    <row r="36" spans="1:2" x14ac:dyDescent="0.25">
      <c r="A36" s="15">
        <v>44910</v>
      </c>
      <c r="B36" s="5">
        <f t="shared" si="0"/>
        <v>70</v>
      </c>
    </row>
    <row r="37" spans="1:2" x14ac:dyDescent="0.25">
      <c r="A37" s="15">
        <v>45275</v>
      </c>
      <c r="B37" s="5">
        <f t="shared" si="0"/>
        <v>70</v>
      </c>
    </row>
    <row r="38" spans="1:2" x14ac:dyDescent="0.25">
      <c r="A38" s="15">
        <v>45641</v>
      </c>
      <c r="B38" s="5">
        <f t="shared" si="0"/>
        <v>70</v>
      </c>
    </row>
    <row r="39" spans="1:2" x14ac:dyDescent="0.25">
      <c r="A39" s="15">
        <v>46006</v>
      </c>
      <c r="B39" s="5">
        <f t="shared" si="0"/>
        <v>70</v>
      </c>
    </row>
    <row r="40" spans="1:2" x14ac:dyDescent="0.25">
      <c r="A40" s="15">
        <v>46371</v>
      </c>
      <c r="B40" s="5">
        <f t="shared" si="0"/>
        <v>70</v>
      </c>
    </row>
    <row r="41" spans="1:2" x14ac:dyDescent="0.25">
      <c r="A41" s="15">
        <v>46736</v>
      </c>
      <c r="B41" s="5">
        <f t="shared" si="0"/>
        <v>70</v>
      </c>
    </row>
    <row r="42" spans="1:2" x14ac:dyDescent="0.25">
      <c r="A42" s="15">
        <v>47102</v>
      </c>
      <c r="B42" s="5">
        <f t="shared" si="0"/>
        <v>70</v>
      </c>
    </row>
    <row r="43" spans="1:2" x14ac:dyDescent="0.25">
      <c r="A43" s="15">
        <v>47467</v>
      </c>
      <c r="B43" s="5">
        <f t="shared" si="0"/>
        <v>70</v>
      </c>
    </row>
    <row r="44" spans="1:2" x14ac:dyDescent="0.25">
      <c r="A44" s="15">
        <v>47832</v>
      </c>
      <c r="B44" s="5">
        <f>B3+B9</f>
        <v>1070</v>
      </c>
    </row>
    <row r="45" spans="1:2" x14ac:dyDescent="0.25">
      <c r="A45" s="2"/>
    </row>
    <row r="46" spans="1:2" x14ac:dyDescent="0.25">
      <c r="A46" s="2"/>
    </row>
    <row r="47" spans="1:2" x14ac:dyDescent="0.25">
      <c r="A47" s="2" t="s">
        <v>27</v>
      </c>
      <c r="B47" s="6">
        <f>XIRR(B26:B44,A26:A44)</f>
        <v>6.5008053183555625E-2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Price</vt:lpstr>
      <vt:lpstr>Graph</vt:lpstr>
      <vt:lpstr>Yield</vt:lpstr>
      <vt:lpstr>Short vs long term graph work</vt:lpstr>
      <vt:lpstr>Accrued interst</vt:lpstr>
      <vt:lpstr>Low vs high coupon rate graph</vt:lpstr>
      <vt:lpstr>Accrued Interest</vt:lpstr>
      <vt:lpstr>Accrued Interest 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ahe013000</dc:creator>
  <cp:lastModifiedBy>Dupinder</cp:lastModifiedBy>
  <dcterms:created xsi:type="dcterms:W3CDTF">2013-03-05T23:42:18Z</dcterms:created>
  <dcterms:modified xsi:type="dcterms:W3CDTF">2019-10-21T19:43:26Z</dcterms:modified>
</cp:coreProperties>
</file>