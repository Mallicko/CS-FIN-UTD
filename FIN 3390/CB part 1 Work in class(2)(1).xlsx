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xk110730\Downloads\"/>
    </mc:Choice>
  </mc:AlternateContent>
  <xr:revisionPtr revIDLastSave="0" documentId="13_ncr:1_{C6D5887A-8422-4522-BF11-59E799CF7E4E}" xr6:coauthVersionLast="47" xr6:coauthVersionMax="47" xr10:uidLastSave="{00000000-0000-0000-0000-000000000000}"/>
  <bookViews>
    <workbookView xWindow="-98" yWindow="-98" windowWidth="21795" windowHeight="13875" activeTab="4" xr2:uid="{00000000-000D-0000-FFFF-FFFF00000000}"/>
  </bookViews>
  <sheets>
    <sheet name="1" sheetId="13" r:id="rId1"/>
    <sheet name="2" sheetId="14" r:id="rId2"/>
    <sheet name="3" sheetId="15" r:id="rId3"/>
    <sheet name="4" sheetId="18" r:id="rId4"/>
    <sheet name="5" sheetId="20" r:id="rId5"/>
  </sheets>
  <definedNames>
    <definedName name="CGS">#REF!</definedName>
    <definedName name="growth_rate">#REF!</definedName>
    <definedName name="IRR">#REF!</definedName>
    <definedName name="NPV">#REF!</definedName>
    <definedName name="solver_adj" localSheetId="4" hidden="1">'5'!$D$4:$D$16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'5'!$D$4:$D$16</definedName>
    <definedName name="solver_lhs2" localSheetId="4" hidden="1">'5'!$F$18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'5'!$E$18</definedName>
    <definedName name="solver_pre" localSheetId="4" hidden="1">0.000001</definedName>
    <definedName name="solver_rbv" localSheetId="4" hidden="1">1</definedName>
    <definedName name="solver_rel1" localSheetId="4" hidden="1">5</definedName>
    <definedName name="solver_rel2" localSheetId="4" hidden="1">1</definedName>
    <definedName name="solver_rhs1" localSheetId="4" hidden="1">"binary"</definedName>
    <definedName name="solver_rhs2" localSheetId="4" hidden="1">'5'!$B$1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0" l="1"/>
  <c r="F6" i="20"/>
  <c r="F7" i="20"/>
  <c r="F8" i="20"/>
  <c r="F9" i="20"/>
  <c r="F10" i="20"/>
  <c r="F11" i="20"/>
  <c r="F12" i="20"/>
  <c r="F13" i="20"/>
  <c r="F14" i="20"/>
  <c r="F15" i="20"/>
  <c r="F16" i="20"/>
  <c r="F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4" i="20"/>
  <c r="B10" i="18"/>
  <c r="A12" i="18" s="1"/>
  <c r="B9" i="18"/>
  <c r="B7" i="18"/>
  <c r="B8" i="18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C20" i="15"/>
  <c r="B20" i="15"/>
  <c r="C11" i="15"/>
  <c r="B11" i="15"/>
  <c r="D10" i="15"/>
  <c r="D4" i="15"/>
  <c r="D5" i="15"/>
  <c r="D6" i="15"/>
  <c r="D7" i="15"/>
  <c r="D8" i="15"/>
  <c r="D3" i="15"/>
  <c r="C16" i="15"/>
  <c r="B16" i="15"/>
  <c r="C14" i="15"/>
  <c r="B14" i="15"/>
  <c r="C15" i="15"/>
  <c r="B15" i="15"/>
  <c r="C13" i="15"/>
  <c r="B13" i="15"/>
  <c r="B19" i="14"/>
  <c r="B20" i="14"/>
  <c r="B21" i="14"/>
  <c r="B22" i="14"/>
  <c r="B23" i="14"/>
  <c r="B24" i="14"/>
  <c r="B25" i="14"/>
  <c r="B26" i="14"/>
  <c r="B27" i="14"/>
  <c r="B28" i="14"/>
  <c r="B29" i="14"/>
  <c r="B30" i="14"/>
  <c r="B18" i="14"/>
  <c r="B15" i="14"/>
  <c r="B14" i="14"/>
  <c r="D8" i="14"/>
  <c r="C8" i="14"/>
  <c r="D7" i="14"/>
  <c r="D4" i="14"/>
  <c r="C6" i="14"/>
  <c r="C5" i="14"/>
  <c r="B13" i="14"/>
  <c r="B12" i="14"/>
  <c r="B11" i="14"/>
  <c r="B7" i="13"/>
  <c r="B6" i="13"/>
  <c r="E18" i="20" l="1"/>
  <c r="F1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Kaur, Dupinderjeet</author>
  </authors>
  <commentList>
    <comment ref="C2" authorId="0" shapeId="0" xr:uid="{B9069DCD-60D9-42F5-8907-912948535A62}">
      <text>
        <r>
          <rPr>
            <b/>
            <sz val="9"/>
            <color indexed="81"/>
            <rFont val="Tahoma"/>
            <family val="2"/>
          </rPr>
          <t>Kaur, Dupinderjeet:</t>
        </r>
        <r>
          <rPr>
            <sz val="9"/>
            <color indexed="81"/>
            <rFont val="Tahoma"/>
            <family val="2"/>
          </rPr>
          <t xml:space="preserve">
Column Input</t>
        </r>
      </text>
    </comment>
    <comment ref="B5" authorId="0" shapeId="0" xr:uid="{9651FF1E-D705-4738-A339-4E1FF5427507}">
      <text>
        <r>
          <rPr>
            <b/>
            <sz val="9"/>
            <color indexed="81"/>
            <rFont val="Tahoma"/>
            <family val="2"/>
          </rPr>
          <t>Kaur, Dupinderjeet:</t>
        </r>
        <r>
          <rPr>
            <sz val="9"/>
            <color indexed="81"/>
            <rFont val="Tahoma"/>
            <family val="2"/>
          </rPr>
          <t xml:space="preserve">
Row input</t>
        </r>
      </text>
    </comment>
  </commentList>
</comments>
</file>

<file path=xl/sharedStrings.xml><?xml version="1.0" encoding="utf-8"?>
<sst xmlns="http://schemas.openxmlformats.org/spreadsheetml/2006/main" count="44" uniqueCount="32">
  <si>
    <t>NPV</t>
  </si>
  <si>
    <t>Prob</t>
  </si>
  <si>
    <t>year</t>
  </si>
  <si>
    <t>project A</t>
  </si>
  <si>
    <t>Project B</t>
  </si>
  <si>
    <t>i</t>
  </si>
  <si>
    <t>cost of capital</t>
  </si>
  <si>
    <t>Best case</t>
  </si>
  <si>
    <t>Most likely</t>
  </si>
  <si>
    <t>worst case</t>
  </si>
  <si>
    <t>cash</t>
  </si>
  <si>
    <t>Year</t>
  </si>
  <si>
    <t>Cash</t>
  </si>
  <si>
    <t>Project</t>
  </si>
  <si>
    <t>cost</t>
  </si>
  <si>
    <t>CB limit</t>
  </si>
  <si>
    <t>Expected NPV</t>
  </si>
  <si>
    <t>IRR</t>
  </si>
  <si>
    <t>IRR 1</t>
  </si>
  <si>
    <t>IRR 2</t>
  </si>
  <si>
    <t>PI</t>
  </si>
  <si>
    <t>MIRR</t>
  </si>
  <si>
    <t>A-B</t>
  </si>
  <si>
    <t>NPV at crossover</t>
  </si>
  <si>
    <t>NPV(A)</t>
  </si>
  <si>
    <t>NPV(B)</t>
  </si>
  <si>
    <t>NPV of accepted projects</t>
  </si>
  <si>
    <t>Cost of accepted projects</t>
  </si>
  <si>
    <t>Cash inflow</t>
  </si>
  <si>
    <t>Cash Outflow</t>
  </si>
  <si>
    <t>Indifference or crossover rate</t>
  </si>
  <si>
    <t>Decision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</si>
</sst>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44" fontId="0" fillId="0" borderId="0" xfId="2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3" fontId="3" fillId="0" borderId="4" xfId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vertical="center"/>
    </xf>
    <xf numFmtId="40" fontId="0" fillId="0" borderId="0" xfId="1" applyNumberFormat="1" applyFont="1"/>
    <xf numFmtId="6" fontId="0" fillId="0" borderId="0" xfId="0" applyNumberFormat="1"/>
    <xf numFmtId="40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right" vertical="center"/>
    </xf>
    <xf numFmtId="40" fontId="2" fillId="0" borderId="0" xfId="0" applyNumberFormat="1" applyFont="1" applyAlignment="1">
      <alignment vertical="center"/>
    </xf>
    <xf numFmtId="10" fontId="0" fillId="2" borderId="0" xfId="0" applyNumberFormat="1" applyFill="1"/>
    <xf numFmtId="44" fontId="0" fillId="0" borderId="0" xfId="0" applyNumberFormat="1"/>
    <xf numFmtId="8" fontId="0" fillId="0" borderId="0" xfId="1" applyNumberFormat="1" applyFont="1"/>
    <xf numFmtId="8" fontId="2" fillId="0" borderId="4" xfId="0" applyNumberFormat="1" applyFont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43" fontId="3" fillId="2" borderId="4" xfId="1" applyFont="1" applyFill="1" applyBorder="1" applyAlignment="1">
      <alignment vertical="center" wrapText="1"/>
    </xf>
    <xf numFmtId="9" fontId="0" fillId="2" borderId="0" xfId="0" applyNumberFormat="1" applyFill="1"/>
    <xf numFmtId="0" fontId="2" fillId="0" borderId="5" xfId="0" applyFont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'2'!$B$17</c:f>
              <c:strCache>
                <c:ptCount val="1"/>
                <c:pt idx="0">
                  <c:v>NPV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'2'!$A$18:$A$30</c:f>
              <c:numCache>
                <c:formatCode>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'2'!$B$18:$B$30</c:f>
              <c:numCache>
                <c:formatCode>"$"#,##0.00_);[Red]\("$"#,##0.00\)</c:formatCode>
                <c:ptCount val="13"/>
                <c:pt idx="0">
                  <c:v>-1000</c:v>
                </c:pt>
                <c:pt idx="1">
                  <c:v>-618.1837814490882</c:v>
                </c:pt>
                <c:pt idx="2">
                  <c:v>-349.36138241923254</c:v>
                </c:pt>
                <c:pt idx="3">
                  <c:v>-165.61190104380694</c:v>
                </c:pt>
                <c:pt idx="4">
                  <c:v>-46.296296296296532</c:v>
                </c:pt>
                <c:pt idx="5">
                  <c:v>24</c:v>
                </c:pt>
                <c:pt idx="6">
                  <c:v>56.895766954939063</c:v>
                </c:pt>
                <c:pt idx="7">
                  <c:v>61.220342427475771</c:v>
                </c:pt>
                <c:pt idx="8">
                  <c:v>43.731778425655648</c:v>
                </c:pt>
                <c:pt idx="9">
                  <c:v>9.635491410062059</c:v>
                </c:pt>
                <c:pt idx="10">
                  <c:v>-37.037037037037408</c:v>
                </c:pt>
                <c:pt idx="11">
                  <c:v>-93.14893759860297</c:v>
                </c:pt>
                <c:pt idx="12">
                  <c:v>-156.25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B5-4D28-8187-C146CB98D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072752"/>
        <c:axId val="1312072272"/>
      </c:scatterChart>
      <c:valAx>
        <c:axId val="131207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72272"/>
        <c:crosses val="autoZero"/>
        <c:crossBetween val="midCat"/>
      </c:valAx>
      <c:valAx>
        <c:axId val="131207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7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'3'!$B$19</c:f>
              <c:strCache>
                <c:ptCount val="1"/>
                <c:pt idx="0">
                  <c:v>NPV(A)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'3'!$A$20:$A$30</c:f>
              <c:numCache>
                <c:formatCode>0%</c:formatCode>
                <c:ptCount val="11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0.12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0.24</c:v>
                </c:pt>
                <c:pt idx="9">
                  <c:v>0.27</c:v>
                </c:pt>
                <c:pt idx="10">
                  <c:v>0.3</c:v>
                </c:pt>
              </c:numCache>
            </c:numRef>
          </c:xVal>
          <c:yVal>
            <c:numRef>
              <c:f>'3'!$B$20:$B$30</c:f>
              <c:numCache>
                <c:formatCode>"$"#,##0.00_);[Red]\("$"#,##0.00\)</c:formatCode>
                <c:ptCount val="11"/>
                <c:pt idx="0">
                  <c:v>60000</c:v>
                </c:pt>
                <c:pt idx="1">
                  <c:v>49539.796018191671</c:v>
                </c:pt>
                <c:pt idx="2">
                  <c:v>40231.408471922477</c:v>
                </c:pt>
                <c:pt idx="3">
                  <c:v>31908.811086456059</c:v>
                </c:pt>
                <c:pt idx="4">
                  <c:v>24434.599539068498</c:v>
                </c:pt>
                <c:pt idx="5">
                  <c:v>17694.349104763402</c:v>
                </c:pt>
                <c:pt idx="6">
                  <c:v>11592.21068802978</c:v>
                </c:pt>
                <c:pt idx="7">
                  <c:v>6047.4479757698282</c:v>
                </c:pt>
                <c:pt idx="8">
                  <c:v>991.69549247199029</c:v>
                </c:pt>
                <c:pt idx="9">
                  <c:v>-3633.2269677500299</c:v>
                </c:pt>
                <c:pt idx="10">
                  <c:v>-7877.0674373069342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F8-4D87-B3D6-3DE37AE491DC}"/>
            </c:ext>
          </c:extLst>
        </c:ser>
        <c:ser>
          <c:idx val="1"/>
          <c:order val="1"/>
          <c:tx>
            <c:strRef>
              <c:f>'3'!$C$19</c:f>
              <c:strCache>
                <c:ptCount val="1"/>
                <c:pt idx="0">
                  <c:v>NPV(B)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'3'!$A$20:$A$30</c:f>
              <c:numCache>
                <c:formatCode>0%</c:formatCode>
                <c:ptCount val="11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0.12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0.24</c:v>
                </c:pt>
                <c:pt idx="9">
                  <c:v>0.27</c:v>
                </c:pt>
                <c:pt idx="10">
                  <c:v>0.3</c:v>
                </c:pt>
              </c:numCache>
            </c:numRef>
          </c:xVal>
          <c:yVal>
            <c:numRef>
              <c:f>'3'!$C$20:$C$30</c:f>
              <c:numCache>
                <c:formatCode>"$"#,##0.00_);[Red]\("$"#,##0.00\)</c:formatCode>
                <c:ptCount val="11"/>
                <c:pt idx="0">
                  <c:v>80000</c:v>
                </c:pt>
                <c:pt idx="1">
                  <c:v>62322.497463445587</c:v>
                </c:pt>
                <c:pt idx="2">
                  <c:v>46824.953586957912</c:v>
                </c:pt>
                <c:pt idx="3">
                  <c:v>33166.368755981472</c:v>
                </c:pt>
                <c:pt idx="4">
                  <c:v>21068.276982804702</c:v>
                </c:pt>
                <c:pt idx="5">
                  <c:v>10301.804922453652</c:v>
                </c:pt>
                <c:pt idx="6">
                  <c:v>677.68524678447284</c:v>
                </c:pt>
                <c:pt idx="7">
                  <c:v>-7961.5083735814842</c:v>
                </c:pt>
                <c:pt idx="8">
                  <c:v>-15747.442178777826</c:v>
                </c:pt>
                <c:pt idx="9">
                  <c:v>-22790.816785602743</c:v>
                </c:pt>
                <c:pt idx="10">
                  <c:v>-29185.171818482995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F8-4D87-B3D6-3DE37AE49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652688"/>
        <c:axId val="936656048"/>
      </c:scatterChart>
      <c:valAx>
        <c:axId val="9366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56048"/>
        <c:crosses val="autoZero"/>
        <c:crossBetween val="midCat"/>
      </c:valAx>
      <c:valAx>
        <c:axId val="9366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508000</xdr:colOff>
      <xdr:row>2</xdr:row>
      <xdr:rowOff>133350</xdr:rowOff>
    </xdr:from>
    <xdr:to>
      <xdr:col>9</xdr:col>
      <xdr:colOff>646113</xdr:colOff>
      <xdr:row>19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8127F8-C48E-6976-6EBF-CE0AC9D4B099}"/>
            </a:ext>
          </a:extLst>
        </xdr:cNvPr>
        <xdr:cNvSpPr txBox="1"/>
      </xdr:nvSpPr>
      <xdr:spPr>
        <a:xfrm>
          <a:off x="3705225" y="495300"/>
          <a:ext cx="4995863" cy="2609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Cheerful company has a cost of capital of 12% and is considering a project that will have following cash flows</a:t>
          </a:r>
        </a:p>
        <a:p>
          <a:endParaRPr lang="en-US"/>
        </a:p>
        <a:p>
          <a:r>
            <a:rPr lang="en-US"/>
            <a:t>a. Calculate the net present value for the project </a:t>
          </a:r>
        </a:p>
        <a:p>
          <a:r>
            <a:rPr lang="en-US"/>
            <a:t>b. Calculate the profitability index </a:t>
          </a:r>
        </a:p>
        <a:p>
          <a:r>
            <a:rPr lang="en-US"/>
            <a:t>c. Calculate the internal rates of return </a:t>
          </a:r>
        </a:p>
        <a:p>
          <a:r>
            <a:rPr lang="en-US"/>
            <a:t>d. Calculate the modified internal rate of return. </a:t>
          </a:r>
        </a:p>
        <a:p>
          <a:r>
            <a:rPr lang="en-US"/>
            <a:t>e. Should this project be accepted? Why?</a:t>
          </a:r>
        </a:p>
        <a:p>
          <a:r>
            <a:rPr lang="en-US"/>
            <a:t>No because NPV is negative</a:t>
          </a:r>
        </a:p>
        <a:p>
          <a:r>
            <a:rPr lang="en-US"/>
            <a:t> f. Plot the NPV profile for this project showing the IRRs. </a:t>
          </a:r>
          <a:endParaRPr lang="en-US" sz="1100"/>
        </a:p>
      </xdr:txBody>
    </xdr:sp>
    <xdr:clientData/>
  </xdr:twoCellAnchor>
  <xdr:twoCellAnchor>
    <xdr:from>
      <xdr:col>2</xdr:col>
      <xdr:colOff>541733</xdr:colOff>
      <xdr:row>18</xdr:row>
      <xdr:rowOff>85427</xdr:rowOff>
    </xdr:from>
    <xdr:to>
      <xdr:col>7</xdr:col>
      <xdr:colOff>952499</xdr:colOff>
      <xdr:row>33</xdr:row>
      <xdr:rowOff>105072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2CAA4A-AF79-65E6-80BE-2A2B5C352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509587</xdr:colOff>
      <xdr:row>9</xdr:row>
      <xdr:rowOff>94654</xdr:rowOff>
    </xdr:from>
    <xdr:to>
      <xdr:col>18</xdr:col>
      <xdr:colOff>211931</xdr:colOff>
      <xdr:row>18</xdr:row>
      <xdr:rowOff>181569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B02DBC-E934-A375-4F89-8E43D71FE45E}"/>
            </a:ext>
          </a:extLst>
        </xdr:cNvPr>
        <xdr:cNvSpPr txBox="1"/>
      </xdr:nvSpPr>
      <xdr:spPr>
        <a:xfrm>
          <a:off x="7992665" y="1752600"/>
          <a:ext cx="4893469" cy="1902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a. Calculate NPV for each project </a:t>
          </a:r>
        </a:p>
        <a:p>
          <a:r>
            <a:rPr lang="en-US"/>
            <a:t>b. Calculate IRR for each project </a:t>
          </a:r>
        </a:p>
        <a:p>
          <a:r>
            <a:rPr lang="en-US"/>
            <a:t>c. Calculate PI for each project </a:t>
          </a:r>
        </a:p>
        <a:p>
          <a:r>
            <a:rPr lang="en-US"/>
            <a:t>d. Calculate MIRR for each project </a:t>
          </a:r>
        </a:p>
        <a:p>
          <a:r>
            <a:rPr lang="en-US"/>
            <a:t>e. Calculate the rate in which you would be </a:t>
          </a:r>
          <a:r>
            <a:rPr lang="en-US" b="1" u="sng"/>
            <a:t>indifferent between</a:t>
          </a:r>
          <a:r>
            <a:rPr lang="en-US"/>
            <a:t> project A &amp; B. </a:t>
          </a:r>
        </a:p>
        <a:p>
          <a:r>
            <a:rPr lang="en-US"/>
            <a:t>f. Calculate NPV at the crossover rate. </a:t>
          </a:r>
        </a:p>
        <a:p>
          <a:r>
            <a:rPr lang="en-US"/>
            <a:t>g. Plot the NPV profile. </a:t>
          </a:r>
        </a:p>
        <a:p>
          <a:r>
            <a:rPr lang="en-US"/>
            <a:t>h. Assuming A&amp;B are mutually exclusive, which project should be accepted and why?</a:t>
          </a:r>
          <a:endParaRPr lang="en-US" sz="1100"/>
        </a:p>
      </xdr:txBody>
    </xdr:sp>
    <xdr:clientData/>
  </xdr:twoCellAnchor>
  <xdr:twoCellAnchor>
    <xdr:from>
      <xdr:col>3</xdr:col>
      <xdr:colOff>300633</xdr:colOff>
      <xdr:row>15</xdr:row>
      <xdr:rowOff>46730</xdr:rowOff>
    </xdr:from>
    <xdr:to>
      <xdr:col>9</xdr:col>
      <xdr:colOff>383976</xdr:colOff>
      <xdr:row>30</xdr:row>
      <xdr:rowOff>66375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A5E9C-30D7-06E5-A1B6-FEE2FB957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5</xdr:row>
      <xdr:rowOff>136724</xdr:rowOff>
    </xdr:from>
    <xdr:to>
      <xdr:col>12</xdr:col>
      <xdr:colOff>525066</xdr:colOff>
      <xdr:row>17</xdr:row>
      <xdr:rowOff>59530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520601-E5FD-9BE0-3E6B-EBE25A65C16D}"/>
            </a:ext>
          </a:extLst>
        </xdr:cNvPr>
        <xdr:cNvSpPr txBox="1"/>
      </xdr:nvSpPr>
      <xdr:spPr>
        <a:xfrm>
          <a:off x="6933406" y="1083271"/>
          <a:ext cx="2866629" cy="2101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a. Calculate NPV, PI, IRR and MIRR. </a:t>
          </a:r>
        </a:p>
        <a:p>
          <a:r>
            <a:rPr lang="en-US"/>
            <a:t>b. Using Data Table, perform sensitivity analysis of cost of capital and initial investment on MIRR. Start with a cost of capital of 6%, incrementing by 1%, up to 15% Start with initial investment of $70,000, incrementing by $10,000, up to $120,000 </a:t>
          </a:r>
        </a:p>
        <a:p>
          <a:r>
            <a:rPr lang="en-US"/>
            <a:t>Input 1: cost</a:t>
          </a:r>
          <a:r>
            <a:rPr lang="en-US" baseline="0"/>
            <a:t> of capital</a:t>
          </a:r>
        </a:p>
        <a:p>
          <a:r>
            <a:rPr lang="en-US" baseline="0"/>
            <a:t>Input 2: Initial investment</a:t>
          </a:r>
        </a:p>
        <a:p>
          <a:r>
            <a:rPr lang="en-US" baseline="0"/>
            <a:t>Output: MIRR</a:t>
          </a: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50" zoomScaleNormal="180" workbookViewId="0">
      <selection activeCell="B8" sqref="B8"/>
    </sheetView>
  </sheetViews>
  <sheetFormatPr defaultRowHeight="14.25" x14ac:dyDescent="0.45"/>
  <cols>
    <col min="1" max="1" width="15.73046875" customWidth="1"/>
    <col min="2" max="2" width="15.265625" bestFit="1" customWidth="1"/>
  </cols>
  <sheetData>
    <row r="1" spans="1:3" x14ac:dyDescent="0.45">
      <c r="B1" t="s">
        <v>0</v>
      </c>
      <c r="C1" t="s">
        <v>1</v>
      </c>
    </row>
    <row r="2" spans="1:3" x14ac:dyDescent="0.45">
      <c r="A2" t="s">
        <v>7</v>
      </c>
      <c r="B2">
        <v>15000</v>
      </c>
      <c r="C2" s="1">
        <v>0.2</v>
      </c>
    </row>
    <row r="3" spans="1:3" x14ac:dyDescent="0.45">
      <c r="A3" t="s">
        <v>8</v>
      </c>
      <c r="B3">
        <v>10000</v>
      </c>
      <c r="C3" s="1">
        <v>0.65</v>
      </c>
    </row>
    <row r="4" spans="1:3" x14ac:dyDescent="0.45">
      <c r="A4" t="s">
        <v>9</v>
      </c>
      <c r="B4">
        <v>-18000</v>
      </c>
      <c r="C4" s="1">
        <v>0.15</v>
      </c>
    </row>
    <row r="6" spans="1:3" x14ac:dyDescent="0.45">
      <c r="A6" t="s">
        <v>16</v>
      </c>
      <c r="B6" s="6">
        <f>B2*C2+B3*C3+B4*C4</f>
        <v>6800</v>
      </c>
      <c r="C6" s="1"/>
    </row>
    <row r="7" spans="1:3" x14ac:dyDescent="0.45">
      <c r="B7" s="2">
        <f>SUMPRODUCT(B2:B4,C2:C4)</f>
        <v>6800</v>
      </c>
    </row>
    <row r="8" spans="1:3" x14ac:dyDescent="0.45">
      <c r="B8" s="6"/>
    </row>
    <row r="9" spans="1:3" x14ac:dyDescent="0.45">
      <c r="B9" s="2"/>
    </row>
    <row r="10" spans="1:3" x14ac:dyDescent="0.45">
      <c r="A10" s="11"/>
      <c r="B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14" zoomScale="160" zoomScaleNormal="160" workbookViewId="0">
      <selection activeCell="D18" sqref="D18"/>
    </sheetView>
  </sheetViews>
  <sheetFormatPr defaultRowHeight="14.25" x14ac:dyDescent="0.45"/>
  <cols>
    <col min="1" max="1" width="15.59765625" customWidth="1"/>
    <col min="2" max="2" width="17.53125" bestFit="1" customWidth="1"/>
    <col min="3" max="3" width="9.796875" bestFit="1" customWidth="1"/>
    <col min="4" max="4" width="9.86328125" bestFit="1" customWidth="1"/>
    <col min="7" max="8" width="20.3984375" bestFit="1" customWidth="1"/>
  </cols>
  <sheetData>
    <row r="1" spans="1:8" x14ac:dyDescent="0.45">
      <c r="A1" t="s">
        <v>6</v>
      </c>
      <c r="B1" s="1">
        <v>0.12</v>
      </c>
    </row>
    <row r="3" spans="1:8" x14ac:dyDescent="0.45">
      <c r="A3" t="s">
        <v>2</v>
      </c>
      <c r="B3" t="s">
        <v>10</v>
      </c>
      <c r="C3" t="s">
        <v>28</v>
      </c>
      <c r="D3" t="s">
        <v>29</v>
      </c>
    </row>
    <row r="4" spans="1:8" x14ac:dyDescent="0.45">
      <c r="A4">
        <v>0</v>
      </c>
      <c r="B4" s="26">
        <v>-5000</v>
      </c>
      <c r="C4" s="19">
        <v>0</v>
      </c>
      <c r="D4" s="20">
        <f>B4</f>
        <v>-5000</v>
      </c>
    </row>
    <row r="5" spans="1:8" x14ac:dyDescent="0.45">
      <c r="A5">
        <v>1</v>
      </c>
      <c r="B5" s="26">
        <v>9000</v>
      </c>
      <c r="C5" s="20">
        <f>B5</f>
        <v>9000</v>
      </c>
      <c r="D5" s="19">
        <v>0</v>
      </c>
    </row>
    <row r="6" spans="1:8" x14ac:dyDescent="0.45">
      <c r="A6">
        <v>2</v>
      </c>
      <c r="B6" s="26">
        <v>3000</v>
      </c>
      <c r="C6" s="20">
        <f>B6</f>
        <v>3000</v>
      </c>
      <c r="D6" s="19">
        <v>0</v>
      </c>
    </row>
    <row r="7" spans="1:8" x14ac:dyDescent="0.45">
      <c r="A7">
        <v>3</v>
      </c>
      <c r="B7" s="26">
        <v>-8000</v>
      </c>
      <c r="C7" s="19">
        <v>0</v>
      </c>
      <c r="D7" s="20">
        <f>B7</f>
        <v>-8000</v>
      </c>
      <c r="G7" s="2"/>
      <c r="H7" s="2"/>
    </row>
    <row r="8" spans="1:8" x14ac:dyDescent="0.45">
      <c r="B8" s="26"/>
      <c r="C8" s="19">
        <f>NPV(B1,C5:C7)+C4</f>
        <v>10427.295918367345</v>
      </c>
      <c r="D8" s="20">
        <f>NPV(B1,D5:D7)+D4</f>
        <v>-10694.241982507287</v>
      </c>
      <c r="G8" s="2"/>
      <c r="H8" s="2"/>
    </row>
    <row r="9" spans="1:8" x14ac:dyDescent="0.45">
      <c r="B9" s="26"/>
      <c r="C9" s="19"/>
      <c r="D9" s="20"/>
      <c r="G9" s="2"/>
      <c r="H9" s="2"/>
    </row>
    <row r="10" spans="1:8" x14ac:dyDescent="0.45">
      <c r="B10" s="18"/>
      <c r="C10" s="19"/>
      <c r="D10" s="19"/>
      <c r="G10" s="2"/>
      <c r="H10" s="2"/>
    </row>
    <row r="11" spans="1:8" x14ac:dyDescent="0.45">
      <c r="A11" t="s">
        <v>0</v>
      </c>
      <c r="B11" s="26">
        <f>NPV(B1,B5:B7)+B4</f>
        <v>-266.94606413994188</v>
      </c>
    </row>
    <row r="12" spans="1:8" x14ac:dyDescent="0.45">
      <c r="A12" t="s">
        <v>18</v>
      </c>
      <c r="B12" s="5">
        <f>IRR(B4:B7)</f>
        <v>0.22928055973978156</v>
      </c>
    </row>
    <row r="13" spans="1:8" x14ac:dyDescent="0.45">
      <c r="A13" t="s">
        <v>19</v>
      </c>
      <c r="B13" s="5">
        <f>IRR(B4:B7,100%)</f>
        <v>0.461371830122834</v>
      </c>
    </row>
    <row r="14" spans="1:8" x14ac:dyDescent="0.45">
      <c r="A14" t="s">
        <v>20</v>
      </c>
      <c r="B14" s="2">
        <f>-C8/D8</f>
        <v>0.97503833702504683</v>
      </c>
      <c r="C14" s="4"/>
    </row>
    <row r="15" spans="1:8" x14ac:dyDescent="0.45">
      <c r="A15" t="s">
        <v>21</v>
      </c>
      <c r="B15" s="5">
        <f>MIRR(B4:B7,B1,B1)</f>
        <v>0.11060234622393739</v>
      </c>
    </row>
    <row r="16" spans="1:8" x14ac:dyDescent="0.45">
      <c r="B16" s="18"/>
    </row>
    <row r="17" spans="1:2" x14ac:dyDescent="0.45">
      <c r="B17" t="s">
        <v>0</v>
      </c>
    </row>
    <row r="18" spans="1:2" x14ac:dyDescent="0.45">
      <c r="A18" s="1">
        <v>0</v>
      </c>
      <c r="B18" s="21">
        <f>NPV(A18,$B$5:$B$7)+$B$4</f>
        <v>-1000</v>
      </c>
    </row>
    <row r="19" spans="1:2" x14ac:dyDescent="0.45">
      <c r="A19" s="1">
        <v>0.05</v>
      </c>
      <c r="B19" s="21">
        <f t="shared" ref="B19:B30" si="0">NPV(A19,$B$5:$B$7)+$B$4</f>
        <v>-618.1837814490882</v>
      </c>
    </row>
    <row r="20" spans="1:2" x14ac:dyDescent="0.45">
      <c r="A20" s="1">
        <v>0.1</v>
      </c>
      <c r="B20" s="21">
        <f t="shared" si="0"/>
        <v>-349.36138241923254</v>
      </c>
    </row>
    <row r="21" spans="1:2" x14ac:dyDescent="0.45">
      <c r="A21" s="1">
        <v>0.15</v>
      </c>
      <c r="B21" s="21">
        <f t="shared" si="0"/>
        <v>-165.61190104380694</v>
      </c>
    </row>
    <row r="22" spans="1:2" x14ac:dyDescent="0.45">
      <c r="A22" s="1">
        <v>0.2</v>
      </c>
      <c r="B22" s="21">
        <f t="shared" si="0"/>
        <v>-46.296296296296532</v>
      </c>
    </row>
    <row r="23" spans="1:2" x14ac:dyDescent="0.45">
      <c r="A23" s="1">
        <v>0.25</v>
      </c>
      <c r="B23" s="21">
        <f t="shared" si="0"/>
        <v>24</v>
      </c>
    </row>
    <row r="24" spans="1:2" x14ac:dyDescent="0.45">
      <c r="A24" s="1">
        <v>0.3</v>
      </c>
      <c r="B24" s="21">
        <f t="shared" si="0"/>
        <v>56.895766954939063</v>
      </c>
    </row>
    <row r="25" spans="1:2" x14ac:dyDescent="0.45">
      <c r="A25" s="1">
        <v>0.35</v>
      </c>
      <c r="B25" s="21">
        <f t="shared" si="0"/>
        <v>61.220342427475771</v>
      </c>
    </row>
    <row r="26" spans="1:2" x14ac:dyDescent="0.45">
      <c r="A26" s="1">
        <v>0.4</v>
      </c>
      <c r="B26" s="21">
        <f t="shared" si="0"/>
        <v>43.731778425655648</v>
      </c>
    </row>
    <row r="27" spans="1:2" x14ac:dyDescent="0.45">
      <c r="A27" s="1">
        <v>0.45</v>
      </c>
      <c r="B27" s="21">
        <f t="shared" si="0"/>
        <v>9.635491410062059</v>
      </c>
    </row>
    <row r="28" spans="1:2" x14ac:dyDescent="0.45">
      <c r="A28" s="1">
        <v>0.5</v>
      </c>
      <c r="B28" s="21">
        <f t="shared" si="0"/>
        <v>-37.037037037037408</v>
      </c>
    </row>
    <row r="29" spans="1:2" x14ac:dyDescent="0.45">
      <c r="A29" s="1">
        <v>0.55000000000000004</v>
      </c>
      <c r="B29" s="21">
        <f t="shared" si="0"/>
        <v>-93.14893759860297</v>
      </c>
    </row>
    <row r="30" spans="1:2" x14ac:dyDescent="0.45">
      <c r="A30" s="1">
        <v>0.6</v>
      </c>
      <c r="B30" s="21">
        <f t="shared" si="0"/>
        <v>-156.25</v>
      </c>
    </row>
    <row r="31" spans="1:2" x14ac:dyDescent="0.45">
      <c r="A31" s="1"/>
      <c r="B31" s="21"/>
    </row>
    <row r="32" spans="1:2" x14ac:dyDescent="0.45">
      <c r="A32" s="1"/>
      <c r="B32" s="21"/>
    </row>
    <row r="33" spans="1:2" x14ac:dyDescent="0.45">
      <c r="A33" s="1"/>
      <c r="B33" s="2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zoomScale="160" zoomScaleNormal="160" workbookViewId="0">
      <selection activeCell="C13" sqref="C13"/>
    </sheetView>
  </sheetViews>
  <sheetFormatPr defaultRowHeight="14.25" x14ac:dyDescent="0.45"/>
  <cols>
    <col min="2" max="3" width="11.86328125" bestFit="1" customWidth="1"/>
    <col min="4" max="4" width="17.3984375" bestFit="1" customWidth="1"/>
  </cols>
  <sheetData>
    <row r="1" spans="1:5" ht="14.65" thickBot="1" x14ac:dyDescent="0.5">
      <c r="A1" t="s">
        <v>5</v>
      </c>
      <c r="B1" s="1">
        <v>0.08</v>
      </c>
    </row>
    <row r="2" spans="1:5" ht="14.65" thickBot="1" x14ac:dyDescent="0.5">
      <c r="A2" s="7" t="s">
        <v>2</v>
      </c>
      <c r="B2" s="8" t="s">
        <v>3</v>
      </c>
      <c r="C2" s="8" t="s">
        <v>4</v>
      </c>
      <c r="D2" s="28" t="s">
        <v>22</v>
      </c>
    </row>
    <row r="3" spans="1:5" ht="14.65" thickBot="1" x14ac:dyDescent="0.5">
      <c r="A3" s="9">
        <v>0</v>
      </c>
      <c r="B3" s="27">
        <v>-100000</v>
      </c>
      <c r="C3" s="27">
        <v>-150000</v>
      </c>
      <c r="D3" s="10">
        <f>B3-C3</f>
        <v>50000</v>
      </c>
    </row>
    <row r="4" spans="1:5" ht="14.65" thickBot="1" x14ac:dyDescent="0.5">
      <c r="A4" s="9">
        <v>1</v>
      </c>
      <c r="B4" s="27">
        <v>60000</v>
      </c>
      <c r="C4" s="27">
        <v>70000</v>
      </c>
      <c r="D4" s="10">
        <f t="shared" ref="D4:D8" si="0">B4-C4</f>
        <v>-10000</v>
      </c>
    </row>
    <row r="5" spans="1:5" ht="14.65" thickBot="1" x14ac:dyDescent="0.5">
      <c r="A5" s="9">
        <v>2</v>
      </c>
      <c r="B5" s="27">
        <v>40000</v>
      </c>
      <c r="C5" s="27">
        <v>50000</v>
      </c>
      <c r="D5" s="10">
        <f t="shared" si="0"/>
        <v>-10000</v>
      </c>
    </row>
    <row r="6" spans="1:5" ht="14.65" thickBot="1" x14ac:dyDescent="0.5">
      <c r="A6" s="9">
        <v>3</v>
      </c>
      <c r="B6" s="27">
        <v>20000</v>
      </c>
      <c r="C6" s="27">
        <v>20000</v>
      </c>
      <c r="D6" s="10">
        <f t="shared" si="0"/>
        <v>0</v>
      </c>
    </row>
    <row r="7" spans="1:5" ht="14.65" thickBot="1" x14ac:dyDescent="0.5">
      <c r="A7" s="9">
        <v>4</v>
      </c>
      <c r="B7" s="27">
        <v>30000</v>
      </c>
      <c r="C7" s="27">
        <v>50000</v>
      </c>
      <c r="D7" s="10">
        <f t="shared" si="0"/>
        <v>-20000</v>
      </c>
    </row>
    <row r="8" spans="1:5" ht="14.65" thickBot="1" x14ac:dyDescent="0.5">
      <c r="A8" s="9">
        <v>5</v>
      </c>
      <c r="B8" s="27">
        <v>10000</v>
      </c>
      <c r="C8" s="27">
        <v>40000</v>
      </c>
      <c r="D8" s="10">
        <f t="shared" si="0"/>
        <v>-30000</v>
      </c>
    </row>
    <row r="9" spans="1:5" x14ac:dyDescent="0.45">
      <c r="A9" s="22"/>
      <c r="B9" s="23"/>
      <c r="C9" s="23"/>
      <c r="D9" s="10"/>
    </row>
    <row r="10" spans="1:5" x14ac:dyDescent="0.45">
      <c r="D10" s="24">
        <f>IRR(D3:D8)</f>
        <v>9.7749066932194095E-2</v>
      </c>
      <c r="E10" t="s">
        <v>30</v>
      </c>
    </row>
    <row r="11" spans="1:5" ht="28.5" x14ac:dyDescent="0.45">
      <c r="A11" s="11" t="s">
        <v>23</v>
      </c>
      <c r="B11" s="21">
        <f>NPV($D$10,B4:B8)+B3</f>
        <v>29901.898440613018</v>
      </c>
      <c r="C11" s="21">
        <f>NPV($D$10,C4:C8)+C3</f>
        <v>29901.898440608988</v>
      </c>
    </row>
    <row r="13" spans="1:5" x14ac:dyDescent="0.45">
      <c r="A13" t="s">
        <v>0</v>
      </c>
      <c r="B13" s="21">
        <f>NPV($B$1,B4:B8)+B3</f>
        <v>34582.480742261396</v>
      </c>
      <c r="C13" s="21">
        <f>NPV($B$1,C4:C8)+C3</f>
        <v>37533.221171480167</v>
      </c>
    </row>
    <row r="14" spans="1:5" x14ac:dyDescent="0.45">
      <c r="A14" t="s">
        <v>20</v>
      </c>
      <c r="B14" s="2">
        <f>-NPV($B$1,B4:B8)/B3</f>
        <v>1.345824807422614</v>
      </c>
      <c r="C14" s="2">
        <f>-NPV($B$1,C4:C8)/C3</f>
        <v>1.2502214744765345</v>
      </c>
    </row>
    <row r="15" spans="1:5" x14ac:dyDescent="0.45">
      <c r="A15" t="s">
        <v>17</v>
      </c>
      <c r="B15" s="4">
        <f>IRR(B3:B8)</f>
        <v>0.24621463820906753</v>
      </c>
      <c r="C15" s="4">
        <f>IRR(C3:C8)</f>
        <v>0.18224122865197456</v>
      </c>
    </row>
    <row r="16" spans="1:5" x14ac:dyDescent="0.45">
      <c r="A16" t="s">
        <v>21</v>
      </c>
      <c r="B16" s="4">
        <f>MIRR(B3:B8,$B$1,$B$1)</f>
        <v>0.14609722595922459</v>
      </c>
      <c r="C16" s="4">
        <f>MIRR(C3:C8,$B$1,$B$1)</f>
        <v>0.12933073141402374</v>
      </c>
    </row>
    <row r="19" spans="1:3" x14ac:dyDescent="0.45">
      <c r="B19" t="s">
        <v>24</v>
      </c>
      <c r="C19" t="s">
        <v>25</v>
      </c>
    </row>
    <row r="20" spans="1:3" x14ac:dyDescent="0.45">
      <c r="A20" s="1">
        <v>0</v>
      </c>
      <c r="B20" s="21">
        <f>NPV($A20,B$4:B$8)+B$3</f>
        <v>60000</v>
      </c>
      <c r="C20" s="21">
        <f>NPV($A20,C$4:C$8)+C$3</f>
        <v>80000</v>
      </c>
    </row>
    <row r="21" spans="1:3" x14ac:dyDescent="0.45">
      <c r="A21" s="1">
        <v>0.03</v>
      </c>
      <c r="B21" s="21">
        <f t="shared" ref="B21:C30" si="1">NPV($A21,B$4:B$8)+B$3</f>
        <v>49539.796018191671</v>
      </c>
      <c r="C21" s="21">
        <f t="shared" si="1"/>
        <v>62322.497463445587</v>
      </c>
    </row>
    <row r="22" spans="1:3" x14ac:dyDescent="0.45">
      <c r="A22" s="1">
        <v>0.06</v>
      </c>
      <c r="B22" s="21">
        <f t="shared" si="1"/>
        <v>40231.408471922477</v>
      </c>
      <c r="C22" s="21">
        <f t="shared" si="1"/>
        <v>46824.953586957912</v>
      </c>
    </row>
    <row r="23" spans="1:3" x14ac:dyDescent="0.45">
      <c r="A23" s="1">
        <v>0.09</v>
      </c>
      <c r="B23" s="21">
        <f t="shared" si="1"/>
        <v>31908.811086456059</v>
      </c>
      <c r="C23" s="21">
        <f t="shared" si="1"/>
        <v>33166.368755981472</v>
      </c>
    </row>
    <row r="24" spans="1:3" x14ac:dyDescent="0.45">
      <c r="A24" s="1">
        <v>0.12</v>
      </c>
      <c r="B24" s="21">
        <f t="shared" si="1"/>
        <v>24434.599539068498</v>
      </c>
      <c r="C24" s="21">
        <f t="shared" si="1"/>
        <v>21068.276982804702</v>
      </c>
    </row>
    <row r="25" spans="1:3" x14ac:dyDescent="0.45">
      <c r="A25" s="1">
        <v>0.15</v>
      </c>
      <c r="B25" s="21">
        <f t="shared" si="1"/>
        <v>17694.349104763402</v>
      </c>
      <c r="C25" s="21">
        <f t="shared" si="1"/>
        <v>10301.804922453652</v>
      </c>
    </row>
    <row r="26" spans="1:3" x14ac:dyDescent="0.45">
      <c r="A26" s="1">
        <v>0.18</v>
      </c>
      <c r="B26" s="21">
        <f t="shared" si="1"/>
        <v>11592.21068802978</v>
      </c>
      <c r="C26" s="21">
        <f t="shared" si="1"/>
        <v>677.68524678447284</v>
      </c>
    </row>
    <row r="27" spans="1:3" x14ac:dyDescent="0.45">
      <c r="A27" s="1">
        <v>0.21</v>
      </c>
      <c r="B27" s="21">
        <f t="shared" si="1"/>
        <v>6047.4479757698282</v>
      </c>
      <c r="C27" s="21">
        <f t="shared" si="1"/>
        <v>-7961.5083735814842</v>
      </c>
    </row>
    <row r="28" spans="1:3" x14ac:dyDescent="0.45">
      <c r="A28" s="1">
        <v>0.24</v>
      </c>
      <c r="B28" s="21">
        <f t="shared" si="1"/>
        <v>991.69549247199029</v>
      </c>
      <c r="C28" s="21">
        <f t="shared" si="1"/>
        <v>-15747.442178777826</v>
      </c>
    </row>
    <row r="29" spans="1:3" x14ac:dyDescent="0.45">
      <c r="A29" s="1">
        <v>0.27</v>
      </c>
      <c r="B29" s="21">
        <f t="shared" si="1"/>
        <v>-3633.2269677500299</v>
      </c>
      <c r="C29" s="21">
        <f t="shared" si="1"/>
        <v>-22790.816785602743</v>
      </c>
    </row>
    <row r="30" spans="1:3" x14ac:dyDescent="0.45">
      <c r="A30" s="1">
        <v>0.3</v>
      </c>
      <c r="B30" s="21">
        <f t="shared" si="1"/>
        <v>-7877.0674373069342</v>
      </c>
      <c r="C30" s="21">
        <f t="shared" si="1"/>
        <v>-29185.171818482995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2"/>
  <sheetViews>
    <sheetView topLeftCell="A6" zoomScale="160" zoomScaleNormal="160" workbookViewId="0">
      <selection activeCell="F9" sqref="F9"/>
    </sheetView>
  </sheetViews>
  <sheetFormatPr defaultRowHeight="14.25" x14ac:dyDescent="0.45"/>
  <cols>
    <col min="2" max="2" width="13.59765625" bestFit="1" customWidth="1"/>
    <col min="3" max="4" width="11.3984375" bestFit="1" customWidth="1"/>
    <col min="5" max="7" width="12.265625" bestFit="1" customWidth="1"/>
    <col min="8" max="8" width="11.265625" bestFit="1" customWidth="1"/>
  </cols>
  <sheetData>
    <row r="2" spans="1:8" x14ac:dyDescent="0.45">
      <c r="A2" t="s">
        <v>6</v>
      </c>
      <c r="C2" s="30">
        <v>0.11</v>
      </c>
    </row>
    <row r="3" spans="1:8" ht="14.65" thickBot="1" x14ac:dyDescent="0.5"/>
    <row r="4" spans="1:8" ht="15.75" thickBot="1" x14ac:dyDescent="0.5">
      <c r="A4" s="12" t="s">
        <v>11</v>
      </c>
      <c r="B4" s="13">
        <v>0</v>
      </c>
      <c r="C4" s="13">
        <v>1</v>
      </c>
      <c r="D4" s="13">
        <v>2</v>
      </c>
      <c r="E4" s="13">
        <v>3</v>
      </c>
      <c r="F4" s="13">
        <v>4</v>
      </c>
      <c r="G4" s="13">
        <v>5</v>
      </c>
      <c r="H4" s="13">
        <v>6</v>
      </c>
    </row>
    <row r="5" spans="1:8" ht="15.75" thickBot="1" x14ac:dyDescent="0.5">
      <c r="A5" s="14" t="s">
        <v>12</v>
      </c>
      <c r="B5" s="29">
        <v>-100000</v>
      </c>
      <c r="C5" s="15">
        <v>10000</v>
      </c>
      <c r="D5" s="15">
        <v>20000</v>
      </c>
      <c r="E5" s="15">
        <v>30000</v>
      </c>
      <c r="F5" s="15">
        <v>40000</v>
      </c>
      <c r="G5" s="15">
        <v>50000</v>
      </c>
      <c r="H5" s="15">
        <v>60000</v>
      </c>
    </row>
    <row r="7" spans="1:8" x14ac:dyDescent="0.45">
      <c r="A7" s="1" t="s">
        <v>0</v>
      </c>
      <c r="B7" s="6">
        <f>NPV(C2,C5:H5)+B5</f>
        <v>35277.454646974045</v>
      </c>
      <c r="C7" s="5"/>
      <c r="D7" s="5"/>
      <c r="E7" s="5"/>
      <c r="F7" s="5"/>
      <c r="G7" s="5"/>
    </row>
    <row r="8" spans="1:8" x14ac:dyDescent="0.45">
      <c r="A8" t="s">
        <v>20</v>
      </c>
      <c r="B8" s="3">
        <f>-NPV(C2,C5:H5)/B5</f>
        <v>1.3527745464697405</v>
      </c>
    </row>
    <row r="9" spans="1:8" x14ac:dyDescent="0.45">
      <c r="A9" t="s">
        <v>17</v>
      </c>
      <c r="B9" s="4">
        <f>IRR(B5:H5)</f>
        <v>0.1971038933022522</v>
      </c>
    </row>
    <row r="10" spans="1:8" x14ac:dyDescent="0.45">
      <c r="A10" t="s">
        <v>21</v>
      </c>
      <c r="B10" s="4">
        <f>MIRR(B5:H5,C2,C2)</f>
        <v>0.16733063363592682</v>
      </c>
    </row>
    <row r="12" spans="1:8" x14ac:dyDescent="0.45">
      <c r="A12" s="4">
        <f>B10</f>
        <v>0.16733063363592682</v>
      </c>
      <c r="B12" s="19">
        <v>-70000</v>
      </c>
      <c r="C12" s="19">
        <v>-80000</v>
      </c>
      <c r="D12" s="19">
        <v>-90000</v>
      </c>
      <c r="E12" s="19">
        <v>-100000</v>
      </c>
      <c r="F12" s="19">
        <v>-110000</v>
      </c>
      <c r="G12" s="19">
        <v>-120000</v>
      </c>
    </row>
    <row r="13" spans="1:8" x14ac:dyDescent="0.45">
      <c r="A13" s="1">
        <v>0.06</v>
      </c>
      <c r="B13" s="5">
        <f t="dataTable" ref="B13:G22" dt2D="1" dtr="1" r1="B5" r2="C2"/>
        <v>0.2213134788649711</v>
      </c>
      <c r="C13" s="5">
        <v>0.19443308805778181</v>
      </c>
      <c r="D13" s="5">
        <v>0.17121440508971775</v>
      </c>
      <c r="E13" s="5">
        <v>0.15082730298338376</v>
      </c>
      <c r="F13" s="5">
        <v>0.13269080754484452</v>
      </c>
      <c r="G13" s="5">
        <v>0.11638317466327019</v>
      </c>
    </row>
    <row r="14" spans="1:8" x14ac:dyDescent="0.45">
      <c r="A14" s="1">
        <v>7.0000000000000007E-2</v>
      </c>
      <c r="B14" s="5">
        <v>0.22477833035189088</v>
      </c>
      <c r="C14" s="5">
        <v>0.19782168020287894</v>
      </c>
      <c r="D14" s="5">
        <v>0.17453712611360128</v>
      </c>
      <c r="E14" s="5">
        <v>0.15409218604652297</v>
      </c>
      <c r="F14" s="5">
        <v>0.1359042375909858</v>
      </c>
      <c r="G14" s="5">
        <v>0.11955034015324673</v>
      </c>
    </row>
    <row r="15" spans="1:8" x14ac:dyDescent="0.45">
      <c r="A15" s="1">
        <v>0.08</v>
      </c>
      <c r="B15" s="5">
        <v>0.2282623536384667</v>
      </c>
      <c r="C15" s="5">
        <v>0.2012290221876063</v>
      </c>
      <c r="D15" s="5">
        <v>0.17787823249744128</v>
      </c>
      <c r="E15" s="5">
        <v>0.15737513443922202</v>
      </c>
      <c r="F15" s="5">
        <v>0.13913544826561464</v>
      </c>
      <c r="G15" s="5">
        <v>0.1227350302795549</v>
      </c>
    </row>
    <row r="16" spans="1:8" x14ac:dyDescent="0.45">
      <c r="A16" s="1">
        <v>0.09</v>
      </c>
      <c r="B16" s="5">
        <v>0.23176536528923064</v>
      </c>
      <c r="C16" s="5">
        <v>0.20465493461380224</v>
      </c>
      <c r="D16" s="5">
        <v>0.18123754833041206</v>
      </c>
      <c r="E16" s="5">
        <v>0.16067597531270073</v>
      </c>
      <c r="F16" s="5">
        <v>0.14238426944396609</v>
      </c>
      <c r="G16" s="5">
        <v>0.12593707736675852</v>
      </c>
    </row>
    <row r="17" spans="1:7" x14ac:dyDescent="0.45">
      <c r="A17" s="1">
        <v>0.1</v>
      </c>
      <c r="B17" s="5">
        <v>0.23528717982906788</v>
      </c>
      <c r="C17" s="5">
        <v>0.20809923608855074</v>
      </c>
      <c r="D17" s="5">
        <v>0.184614895745709</v>
      </c>
      <c r="E17" s="5">
        <v>0.16399453389624741</v>
      </c>
      <c r="F17" s="5">
        <v>0.14565052910963261</v>
      </c>
      <c r="G17" s="5">
        <v>0.1291563118750132</v>
      </c>
    </row>
    <row r="18" spans="1:7" x14ac:dyDescent="0.45">
      <c r="A18" s="1">
        <v>0.11</v>
      </c>
      <c r="B18" s="5">
        <v>0.23882760989042118</v>
      </c>
      <c r="C18" s="5">
        <v>0.2115617433681436</v>
      </c>
      <c r="D18" s="5">
        <v>0.18801009506171362</v>
      </c>
      <c r="E18" s="5">
        <v>0.16733063363592682</v>
      </c>
      <c r="F18" s="5">
        <v>0.14893405349108568</v>
      </c>
      <c r="G18" s="5">
        <v>0.13239256253462295</v>
      </c>
    </row>
    <row r="19" spans="1:7" x14ac:dyDescent="0.45">
      <c r="A19" s="1">
        <v>0.12</v>
      </c>
      <c r="B19" s="5">
        <v>0.24238646635835615</v>
      </c>
      <c r="C19" s="5">
        <v>0.21504227149995492</v>
      </c>
      <c r="D19" s="5">
        <v>0.19142296492110944</v>
      </c>
      <c r="E19" s="5">
        <v>0.17068409633127413</v>
      </c>
      <c r="F19" s="5">
        <v>0.15223466719621537</v>
      </c>
      <c r="G19" s="5">
        <v>0.13564565647864169</v>
      </c>
    </row>
    <row r="20" spans="1:7" x14ac:dyDescent="0.45">
      <c r="A20" s="1">
        <v>0.13</v>
      </c>
      <c r="B20" s="5">
        <v>0.24596355851333973</v>
      </c>
      <c r="C20" s="5">
        <v>0.21854063396207635</v>
      </c>
      <c r="D20" s="5">
        <v>0.19485332242780284</v>
      </c>
      <c r="E20" s="5">
        <v>0.17405474226983264</v>
      </c>
      <c r="F20" s="5">
        <v>0.15555219334474879</v>
      </c>
      <c r="G20" s="5">
        <v>0.13891541937338592</v>
      </c>
    </row>
    <row r="21" spans="1:7" x14ac:dyDescent="0.45">
      <c r="A21" s="1">
        <v>0.14000000000000001</v>
      </c>
      <c r="B21" s="5">
        <v>0.24955869417159438</v>
      </c>
      <c r="C21" s="5">
        <v>0.22205664280058257</v>
      </c>
      <c r="D21" s="5">
        <v>0.19830098328151968</v>
      </c>
      <c r="E21" s="5">
        <v>0.17744239035940712</v>
      </c>
      <c r="F21" s="5">
        <v>0.15888645369841825</v>
      </c>
      <c r="G21" s="5">
        <v>0.14220167554672924</v>
      </c>
    </row>
    <row r="22" spans="1:7" x14ac:dyDescent="0.45">
      <c r="A22" s="1">
        <v>0.15</v>
      </c>
      <c r="B22" s="5">
        <v>0.25317167982289823</v>
      </c>
      <c r="C22" s="5">
        <v>0.22559010876429708</v>
      </c>
      <c r="D22" s="5">
        <v>0.20176576190995354</v>
      </c>
      <c r="E22" s="5">
        <v>0.18084685825791236</v>
      </c>
      <c r="F22" s="5">
        <v>0.16223726878876388</v>
      </c>
      <c r="G22" s="5">
        <v>0.14550424811406382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tabSelected="1" topLeftCell="A2" zoomScale="160" zoomScaleNormal="160" workbookViewId="0">
      <selection activeCell="I12" sqref="I12"/>
    </sheetView>
  </sheetViews>
  <sheetFormatPr defaultRowHeight="14.25" x14ac:dyDescent="0.45"/>
  <cols>
    <col min="2" max="2" width="13.265625" bestFit="1" customWidth="1"/>
    <col min="3" max="3" width="10.1328125" bestFit="1" customWidth="1"/>
    <col min="5" max="5" width="11.86328125" bestFit="1" customWidth="1"/>
    <col min="6" max="6" width="14" bestFit="1" customWidth="1"/>
  </cols>
  <sheetData>
    <row r="1" spans="1:6" x14ac:dyDescent="0.45">
      <c r="A1" t="s">
        <v>15</v>
      </c>
      <c r="B1" s="2">
        <v>3500000</v>
      </c>
    </row>
    <row r="3" spans="1:6" s="11" customFormat="1" ht="42.75" x14ac:dyDescent="0.45">
      <c r="A3" s="31" t="s">
        <v>13</v>
      </c>
      <c r="B3" s="31" t="s">
        <v>0</v>
      </c>
      <c r="C3" s="31" t="s">
        <v>14</v>
      </c>
      <c r="D3" s="32" t="s">
        <v>31</v>
      </c>
      <c r="E3" s="11" t="s">
        <v>26</v>
      </c>
      <c r="F3" s="11" t="s">
        <v>27</v>
      </c>
    </row>
    <row r="4" spans="1:6" x14ac:dyDescent="0.45">
      <c r="A4" s="16">
        <v>1</v>
      </c>
      <c r="B4" s="17">
        <v>84334</v>
      </c>
      <c r="C4" s="17">
        <v>237005</v>
      </c>
      <c r="D4">
        <v>1</v>
      </c>
      <c r="E4" s="6">
        <f>B4*D4</f>
        <v>84334</v>
      </c>
      <c r="F4" s="6">
        <f>C4*D4</f>
        <v>237005</v>
      </c>
    </row>
    <row r="5" spans="1:6" x14ac:dyDescent="0.45">
      <c r="A5" s="16">
        <v>2</v>
      </c>
      <c r="B5" s="17">
        <v>26881</v>
      </c>
      <c r="C5" s="17">
        <v>766496</v>
      </c>
      <c r="D5">
        <v>0</v>
      </c>
      <c r="E5" s="6">
        <f t="shared" ref="E5:E16" si="0">B5*D5</f>
        <v>0</v>
      </c>
      <c r="F5" s="6">
        <f t="shared" ref="F5:F16" si="1">C5*D5</f>
        <v>0</v>
      </c>
    </row>
    <row r="6" spans="1:6" x14ac:dyDescent="0.45">
      <c r="A6" s="16">
        <v>3</v>
      </c>
      <c r="B6" s="17">
        <v>23162</v>
      </c>
      <c r="C6" s="17">
        <v>304049</v>
      </c>
      <c r="D6">
        <v>1</v>
      </c>
      <c r="E6" s="6">
        <f t="shared" si="0"/>
        <v>23162</v>
      </c>
      <c r="F6" s="6">
        <f t="shared" si="1"/>
        <v>304049</v>
      </c>
    </row>
    <row r="7" spans="1:6" x14ac:dyDescent="0.45">
      <c r="A7" s="16">
        <v>4</v>
      </c>
      <c r="B7" s="17">
        <v>82598</v>
      </c>
      <c r="C7" s="17">
        <v>565178</v>
      </c>
      <c r="D7">
        <v>1</v>
      </c>
      <c r="E7" s="6">
        <f t="shared" si="0"/>
        <v>82598</v>
      </c>
      <c r="F7" s="6">
        <f t="shared" si="1"/>
        <v>565178</v>
      </c>
    </row>
    <row r="8" spans="1:6" x14ac:dyDescent="0.45">
      <c r="A8" s="16">
        <v>5</v>
      </c>
      <c r="B8" s="17">
        <v>20590</v>
      </c>
      <c r="C8" s="17">
        <v>108990</v>
      </c>
      <c r="D8">
        <v>0</v>
      </c>
      <c r="E8" s="6">
        <f t="shared" si="0"/>
        <v>0</v>
      </c>
      <c r="F8" s="6">
        <f t="shared" si="1"/>
        <v>0</v>
      </c>
    </row>
    <row r="9" spans="1:6" x14ac:dyDescent="0.45">
      <c r="A9" s="16">
        <v>6</v>
      </c>
      <c r="B9" s="17">
        <v>90404</v>
      </c>
      <c r="C9" s="17">
        <v>89135</v>
      </c>
      <c r="D9">
        <v>1</v>
      </c>
      <c r="E9" s="6">
        <f t="shared" si="0"/>
        <v>90404</v>
      </c>
      <c r="F9" s="6">
        <f t="shared" si="1"/>
        <v>89135</v>
      </c>
    </row>
    <row r="10" spans="1:6" x14ac:dyDescent="0.45">
      <c r="A10" s="16">
        <v>7</v>
      </c>
      <c r="B10" s="17">
        <v>18163</v>
      </c>
      <c r="C10" s="17">
        <v>795664</v>
      </c>
      <c r="D10">
        <v>0</v>
      </c>
      <c r="E10" s="6">
        <f t="shared" si="0"/>
        <v>0</v>
      </c>
      <c r="F10" s="6">
        <f t="shared" si="1"/>
        <v>0</v>
      </c>
    </row>
    <row r="11" spans="1:6" x14ac:dyDescent="0.45">
      <c r="A11" s="16">
        <v>8</v>
      </c>
      <c r="B11" s="17">
        <v>97682</v>
      </c>
      <c r="C11" s="17">
        <v>814493</v>
      </c>
      <c r="D11">
        <v>1</v>
      </c>
      <c r="E11" s="6">
        <f t="shared" si="0"/>
        <v>97682</v>
      </c>
      <c r="F11" s="6">
        <f t="shared" si="1"/>
        <v>814493</v>
      </c>
    </row>
    <row r="12" spans="1:6" x14ac:dyDescent="0.45">
      <c r="A12" s="16">
        <v>9</v>
      </c>
      <c r="B12" s="17">
        <v>52063</v>
      </c>
      <c r="C12" s="17">
        <v>480321</v>
      </c>
      <c r="D12">
        <v>1</v>
      </c>
      <c r="E12" s="6">
        <f t="shared" si="0"/>
        <v>52063</v>
      </c>
      <c r="F12" s="6">
        <f t="shared" si="1"/>
        <v>480321</v>
      </c>
    </row>
    <row r="13" spans="1:6" x14ac:dyDescent="0.45">
      <c r="A13" s="16">
        <v>10</v>
      </c>
      <c r="B13" s="17">
        <v>53911</v>
      </c>
      <c r="C13" s="17">
        <v>826610</v>
      </c>
      <c r="D13">
        <v>0</v>
      </c>
      <c r="E13" s="6">
        <f t="shared" si="0"/>
        <v>0</v>
      </c>
      <c r="F13" s="6">
        <f t="shared" si="1"/>
        <v>0</v>
      </c>
    </row>
    <row r="14" spans="1:6" x14ac:dyDescent="0.45">
      <c r="A14" s="16">
        <v>11</v>
      </c>
      <c r="B14" s="17">
        <v>56323</v>
      </c>
      <c r="C14" s="17">
        <v>734830</v>
      </c>
      <c r="D14">
        <v>0</v>
      </c>
      <c r="E14" s="6">
        <f t="shared" si="0"/>
        <v>0</v>
      </c>
      <c r="F14" s="6">
        <f t="shared" si="1"/>
        <v>0</v>
      </c>
    </row>
    <row r="15" spans="1:6" x14ac:dyDescent="0.45">
      <c r="A15" s="16">
        <v>12</v>
      </c>
      <c r="B15" s="17">
        <v>88349</v>
      </c>
      <c r="C15" s="17">
        <v>910598</v>
      </c>
      <c r="D15">
        <v>1</v>
      </c>
      <c r="E15" s="6">
        <f t="shared" si="0"/>
        <v>88349</v>
      </c>
      <c r="F15" s="6">
        <f t="shared" si="1"/>
        <v>910598</v>
      </c>
    </row>
    <row r="16" spans="1:6" x14ac:dyDescent="0.45">
      <c r="A16" s="16">
        <v>13</v>
      </c>
      <c r="B16" s="17">
        <v>69352</v>
      </c>
      <c r="C16" s="17">
        <v>978621</v>
      </c>
      <c r="D16">
        <v>0</v>
      </c>
      <c r="E16" s="6">
        <f t="shared" si="0"/>
        <v>0</v>
      </c>
      <c r="F16" s="6">
        <f t="shared" si="1"/>
        <v>0</v>
      </c>
    </row>
    <row r="18" spans="5:6" x14ac:dyDescent="0.45">
      <c r="E18" s="25">
        <f>SUM(E4:E16)</f>
        <v>518592</v>
      </c>
      <c r="F18" s="25">
        <f>SUM(F4:F16)</f>
        <v>3400779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El-Ashmawi, Amal</dc:creator>
  <cp:lastModifiedBy>Kaur, Dupinderjeet</cp:lastModifiedBy>
  <dcterms:created xsi:type="dcterms:W3CDTF">2015-04-13T16:26:30Z</dcterms:created>
  <dcterms:modified xsi:type="dcterms:W3CDTF">2025-10-10T15:23:17Z</dcterms:modified>
</cp:coreProperties>
</file>