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dxk110730\Desktop\"/>
    </mc:Choice>
  </mc:AlternateContent>
  <xr:revisionPtr revIDLastSave="0" documentId="8_{28E289F7-B01E-40A1-AF0D-201ECBFDCD3D}" xr6:coauthVersionLast="47" xr6:coauthVersionMax="47" xr10:uidLastSave="{00000000-0000-0000-0000-000000000000}"/>
  <bookViews>
    <workbookView xWindow="-98" yWindow="-98" windowWidth="21795" windowHeight="13875" activeTab="2" xr2:uid="{00000000-000D-0000-FFFF-FFFF00000000}"/>
  </bookViews>
  <sheets>
    <sheet name="Q1" sheetId="1" r:id="rId1"/>
    <sheet name="Q2(a)" sheetId="2" r:id="rId2"/>
    <sheet name="Q2(b)" sheetId="3" r:id="rId3"/>
  </sheets>
  <definedNames>
    <definedName name="solver_adj" localSheetId="1" hidden="1">'Q2(a)'!$D$3:$D$12</definedName>
    <definedName name="solver_adj" localSheetId="2" hidden="1">'Q2(b)'!$D$3:$D$12</definedName>
    <definedName name="solver_cvg" localSheetId="1" hidden="1">0.0001</definedName>
    <definedName name="solver_cvg" localSheetId="2" hidden="1">0.0001</definedName>
    <definedName name="solver_drv" localSheetId="1" hidden="1">2</definedName>
    <definedName name="solver_drv" localSheetId="2" hidden="1">1</definedName>
    <definedName name="solver_eng" localSheetId="1" hidden="1">1</definedName>
    <definedName name="solver_eng" localSheetId="2" hidden="1">1</definedName>
    <definedName name="solver_est" localSheetId="1" hidden="1">1</definedName>
    <definedName name="solver_est" localSheetId="2" hidden="1">1</definedName>
    <definedName name="solver_itr" localSheetId="1" hidden="1">2147483647</definedName>
    <definedName name="solver_itr" localSheetId="2" hidden="1">2147483647</definedName>
    <definedName name="solver_lhs1" localSheetId="1" hidden="1">'Q2(a)'!$B$17</definedName>
    <definedName name="solver_lhs1" localSheetId="2" hidden="1">'Q2(b)'!$D$11</definedName>
    <definedName name="solver_lhs2" localSheetId="1" hidden="1">'Q2(a)'!$D$3:$D$12</definedName>
    <definedName name="solver_lhs2" localSheetId="2" hidden="1">'Q2(b)'!$D$3:$D$12</definedName>
    <definedName name="solver_lhs3" localSheetId="1" hidden="1">'Q2(a)'!$E$14</definedName>
    <definedName name="solver_lhs3" localSheetId="2" hidden="1">'Q2(b)'!$E$14</definedName>
    <definedName name="solver_mip" localSheetId="1" hidden="1">2147483647</definedName>
    <definedName name="solver_mip" localSheetId="2" hidden="1">2147483647</definedName>
    <definedName name="solver_mni" localSheetId="1" hidden="1">30</definedName>
    <definedName name="solver_mni" localSheetId="2" hidden="1">30</definedName>
    <definedName name="solver_mrt" localSheetId="1" hidden="1">0.075</definedName>
    <definedName name="solver_mrt" localSheetId="2" hidden="1">0.075</definedName>
    <definedName name="solver_msl" localSheetId="1" hidden="1">2</definedName>
    <definedName name="solver_msl" localSheetId="2" hidden="1">2</definedName>
    <definedName name="solver_neg" localSheetId="1" hidden="1">1</definedName>
    <definedName name="solver_neg" localSheetId="2" hidden="1">1</definedName>
    <definedName name="solver_nod" localSheetId="1" hidden="1">2147483647</definedName>
    <definedName name="solver_nod" localSheetId="2" hidden="1">2147483647</definedName>
    <definedName name="solver_num" localSheetId="1" hidden="1">3</definedName>
    <definedName name="solver_num" localSheetId="2" hidden="1">3</definedName>
    <definedName name="solver_nwt" localSheetId="1" hidden="1">1</definedName>
    <definedName name="solver_nwt" localSheetId="2" hidden="1">1</definedName>
    <definedName name="solver_opt" localSheetId="1" hidden="1">'Q2(a)'!$F$14</definedName>
    <definedName name="solver_opt" localSheetId="2" hidden="1">'Q2(b)'!$F$14</definedName>
    <definedName name="solver_pre" localSheetId="1" hidden="1">0.000001</definedName>
    <definedName name="solver_pre" localSheetId="2" hidden="1">0.000001</definedName>
    <definedName name="solver_rbv" localSheetId="1" hidden="1">2</definedName>
    <definedName name="solver_rbv" localSheetId="2" hidden="1">1</definedName>
    <definedName name="solver_rel1" localSheetId="1" hidden="1">2</definedName>
    <definedName name="solver_rel1" localSheetId="2" hidden="1">2</definedName>
    <definedName name="solver_rel2" localSheetId="1" hidden="1">5</definedName>
    <definedName name="solver_rel2" localSheetId="2" hidden="1">5</definedName>
    <definedName name="solver_rel3" localSheetId="1" hidden="1">1</definedName>
    <definedName name="solver_rel3" localSheetId="2" hidden="1">1</definedName>
    <definedName name="solver_rhs1" localSheetId="1" hidden="1">1</definedName>
    <definedName name="solver_rhs1" localSheetId="2" hidden="1">1</definedName>
    <definedName name="solver_rhs2" localSheetId="1" hidden="1">binary</definedName>
    <definedName name="solver_rhs2" localSheetId="2" hidden="1">"binary"</definedName>
    <definedName name="solver_rhs3" localSheetId="1" hidden="1">'Q2(a)'!$B$1</definedName>
    <definedName name="solver_rhs3" localSheetId="2" hidden="1">'Q2(b)'!$B$1</definedName>
    <definedName name="solver_rlx" localSheetId="1" hidden="1">2</definedName>
    <definedName name="solver_rlx" localSheetId="2" hidden="1">2</definedName>
    <definedName name="solver_rsd" localSheetId="1" hidden="1">0</definedName>
    <definedName name="solver_rsd" localSheetId="2" hidden="1">0</definedName>
    <definedName name="solver_scl" localSheetId="1" hidden="1">2</definedName>
    <definedName name="solver_scl" localSheetId="2" hidden="1">1</definedName>
    <definedName name="solver_sho" localSheetId="1" hidden="1">2</definedName>
    <definedName name="solver_sho" localSheetId="2" hidden="1">2</definedName>
    <definedName name="solver_ssz" localSheetId="1" hidden="1">100</definedName>
    <definedName name="solver_ssz" localSheetId="2" hidden="1">100</definedName>
    <definedName name="solver_tim" localSheetId="1" hidden="1">2147483647</definedName>
    <definedName name="solver_tim" localSheetId="2" hidden="1">2147483647</definedName>
    <definedName name="solver_tol" localSheetId="1" hidden="1">0.01</definedName>
    <definedName name="solver_tol" localSheetId="2" hidden="1">0.01</definedName>
    <definedName name="solver_typ" localSheetId="1" hidden="1">1</definedName>
    <definedName name="solver_typ" localSheetId="2" hidden="1">1</definedName>
    <definedName name="solver_val" localSheetId="1" hidden="1">0</definedName>
    <definedName name="solver_val" localSheetId="2" hidden="1">0</definedName>
    <definedName name="solver_ver" localSheetId="1" hidden="1">3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3" l="1"/>
  <c r="C14" i="3"/>
  <c r="B14" i="3"/>
  <c r="F12" i="3"/>
  <c r="E12" i="3"/>
  <c r="F11" i="3"/>
  <c r="E11" i="3"/>
  <c r="F10" i="3"/>
  <c r="E10" i="3"/>
  <c r="F9" i="3"/>
  <c r="E9" i="3"/>
  <c r="F8" i="3"/>
  <c r="E8" i="3"/>
  <c r="F7" i="3"/>
  <c r="E7" i="3"/>
  <c r="F6" i="3"/>
  <c r="E6" i="3"/>
  <c r="F5" i="3"/>
  <c r="E5" i="3"/>
  <c r="F4" i="3"/>
  <c r="E4" i="3"/>
  <c r="E14" i="3" s="1"/>
  <c r="F3" i="3"/>
  <c r="F14" i="3" s="1"/>
  <c r="E3" i="3"/>
  <c r="B17" i="2"/>
  <c r="D14" i="2"/>
  <c r="C14" i="2"/>
  <c r="B14" i="2"/>
  <c r="F12" i="2"/>
  <c r="E12" i="2"/>
  <c r="F11" i="2"/>
  <c r="E11" i="2"/>
  <c r="F10" i="2"/>
  <c r="E10" i="2"/>
  <c r="F9" i="2"/>
  <c r="E9" i="2"/>
  <c r="F8" i="2"/>
  <c r="E8" i="2"/>
  <c r="F7" i="2"/>
  <c r="E7" i="2"/>
  <c r="F6" i="2"/>
  <c r="E6" i="2"/>
  <c r="F5" i="2"/>
  <c r="E5" i="2"/>
  <c r="F4" i="2"/>
  <c r="F14" i="2" s="1"/>
  <c r="E4" i="2"/>
  <c r="E14" i="2" s="1"/>
  <c r="F3" i="2"/>
  <c r="E3" i="2"/>
  <c r="D14" i="1" l="1"/>
  <c r="C14" i="1" l="1"/>
  <c r="B14" i="1"/>
  <c r="E6" i="1"/>
  <c r="E7" i="1"/>
  <c r="E8" i="1"/>
  <c r="E9" i="1"/>
  <c r="E5" i="1"/>
  <c r="C17" i="1" s="1"/>
  <c r="C15" i="1"/>
  <c r="D15" i="1"/>
  <c r="B15" i="1"/>
  <c r="D13" i="1"/>
  <c r="D12" i="1"/>
  <c r="C12" i="1"/>
  <c r="B12" i="1"/>
  <c r="D11" i="1"/>
  <c r="C11" i="1"/>
  <c r="B11" i="1"/>
</calcChain>
</file>

<file path=xl/sharedStrings.xml><?xml version="1.0" encoding="utf-8"?>
<sst xmlns="http://schemas.openxmlformats.org/spreadsheetml/2006/main" count="51" uniqueCount="33">
  <si>
    <t>year</t>
  </si>
  <si>
    <t>project A</t>
  </si>
  <si>
    <t>Project B</t>
  </si>
  <si>
    <t>Project C</t>
  </si>
  <si>
    <t>Discount rate</t>
  </si>
  <si>
    <t>NPV</t>
  </si>
  <si>
    <t>IRR(1)</t>
  </si>
  <si>
    <t>IRR(2)</t>
  </si>
  <si>
    <t>MIRR</t>
  </si>
  <si>
    <t>Difference=A-B</t>
  </si>
  <si>
    <t>A and B are mutually exclusive, so accept A (higher NPV) and accept C as it is independent and has higher NPV.</t>
  </si>
  <si>
    <t>PI</t>
  </si>
  <si>
    <t>Crossover rate</t>
  </si>
  <si>
    <t>Budget</t>
  </si>
  <si>
    <t>Project</t>
  </si>
  <si>
    <t>Cost</t>
  </si>
  <si>
    <t>Yes/No</t>
  </si>
  <si>
    <t>Cost of accepted projects</t>
  </si>
  <si>
    <t>NPV of accepted projects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</si>
  <si>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</si>
  <si>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</si>
  <si>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</si>
  <si>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</si>
  <si>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</si>
  <si>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</si>
  <si>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</si>
  <si>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</si>
  <si>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</si>
  <si>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</si>
  <si>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a)</t>
  </si>
  <si>
    <t>Only one of A and B has to be selected</t>
  </si>
  <si>
    <t>b)</t>
  </si>
  <si>
    <t>I has to be accepted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</si>
</sst>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horizontal="right" vertical="center"/>
    </xf>
    <xf numFmtId="44" fontId="2" fillId="0" borderId="4" xfId="1" applyFont="1" applyBorder="1" applyAlignment="1">
      <alignment horizontal="right" vertical="center"/>
    </xf>
    <xf numFmtId="9" fontId="0" fillId="0" borderId="0" xfId="0" applyNumberFormat="1"/>
    <xf numFmtId="44" fontId="0" fillId="0" borderId="0" xfId="0" applyNumberFormat="1"/>
    <xf numFmtId="0" fontId="2" fillId="0" borderId="5" xfId="0" applyFont="1" applyBorder="1" applyAlignment="1">
      <alignment vertical="center"/>
    </xf>
    <xf numFmtId="44" fontId="0" fillId="2" borderId="0" xfId="0" applyNumberFormat="1" applyFill="1"/>
    <xf numFmtId="0" fontId="0" fillId="2" borderId="0" xfId="0" applyFill="1"/>
    <xf numFmtId="10" fontId="0" fillId="2" borderId="0" xfId="0" applyNumberFormat="1" applyFill="1"/>
    <xf numFmtId="43" fontId="0" fillId="2" borderId="0" xfId="2" applyFont="1" applyFill="1"/>
    <xf numFmtId="164" fontId="0" fillId="0" borderId="0" xfId="1" applyNumberFormat="1" applyFont="1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3" fontId="4" fillId="0" borderId="4" xfId="0" applyNumberFormat="1" applyFont="1" applyBorder="1" applyAlignment="1">
      <alignment horizontal="right" vertical="center"/>
    </xf>
    <xf numFmtId="165" fontId="0" fillId="0" borderId="0" xfId="2" applyNumberFormat="1" applyFont="1"/>
    <xf numFmtId="3" fontId="0" fillId="0" borderId="0" xfId="0" applyNumberFormat="1"/>
  </cellXfs>
  <cellStyles count="3">
    <cellStyle name="Comma" xfId="2" builtinId="3"/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390525</xdr:colOff>
      <xdr:row>1</xdr:row>
      <xdr:rowOff>323850</xdr:rowOff>
    </xdr:from>
    <xdr:to>
      <xdr:col>12</xdr:col>
      <xdr:colOff>600075</xdr:colOff>
      <xdr:row>10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A816303-2574-405B-8B8D-25106007CCBD}"/>
            </a:ext>
          </a:extLst>
        </xdr:cNvPr>
        <xdr:cNvSpPr txBox="1"/>
      </xdr:nvSpPr>
      <xdr:spPr>
        <a:xfrm>
          <a:off x="5129213" y="509588"/>
          <a:ext cx="4095750" cy="182403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Q: Eaton Medical Services is evaluating  10 independent indivisible projects, all with positive NPV. The company's capital budgeting for the year is limited to a maximum of $5,000,000.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(a) Use solver to find the optimum combination of projects the company should accept, under the assumption that A and B are mutually exclusive and one of them has to be selected.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(b)Ignore the constraint from previous part, assume that project “I” has to be accepted. Use solver to find optimum combination of projects the company should accept now.</a:t>
          </a:r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390525</xdr:colOff>
      <xdr:row>1</xdr:row>
      <xdr:rowOff>323850</xdr:rowOff>
    </xdr:from>
    <xdr:to>
      <xdr:col>12</xdr:col>
      <xdr:colOff>600075</xdr:colOff>
      <xdr:row>10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1D65E5C-B4F1-42CA-A03A-4C1395B5A3E2}"/>
            </a:ext>
          </a:extLst>
        </xdr:cNvPr>
        <xdr:cNvSpPr txBox="1"/>
      </xdr:nvSpPr>
      <xdr:spPr>
        <a:xfrm>
          <a:off x="5129213" y="509588"/>
          <a:ext cx="4095750" cy="182403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Q: Eaton Medical Services is evaluating  10 independent indivisible projects, all with positive NPV. The company's capital budgeting for the year is limited to a maximum of $5,000,000.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(a) Use solver to find the optimum combination of projects the company should accept, under the assumption that A and B are mutually exclusive and one of them has to be selected.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(b)Ignore the constraint from previous part, assume that project “I” has to be accepted. Use solver to find optimum combination of projects the company should accept now.</a:t>
          </a: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19"/>
  <sheetViews>
    <sheetView workbookViewId="0">
      <selection activeCell="C28" sqref="C28"/>
    </sheetView>
  </sheetViews>
  <sheetFormatPr defaultRowHeight="14.25" x14ac:dyDescent="0.45"/>
  <cols>
    <col min="1" max="1" width="6.265625" bestFit="1" customWidth="1"/>
    <col min="2" max="2" width="12.59765625" bestFit="1" customWidth="1"/>
    <col min="3" max="5" width="12.265625" bestFit="1" customWidth="1"/>
    <col min="8" max="8" width="11.59765625" bestFit="1" customWidth="1"/>
    <col min="9" max="9" width="10.86328125" bestFit="1" customWidth="1"/>
  </cols>
  <sheetData>
    <row r="2" spans="1:5" x14ac:dyDescent="0.45">
      <c r="B2" t="s">
        <v>4</v>
      </c>
      <c r="C2" s="5">
        <v>0.12</v>
      </c>
    </row>
    <row r="3" spans="1:5" ht="14.65" thickBot="1" x14ac:dyDescent="0.5"/>
    <row r="4" spans="1:5" ht="14.65" thickBot="1" x14ac:dyDescent="0.5">
      <c r="A4" s="1" t="s">
        <v>0</v>
      </c>
      <c r="B4" s="2" t="s">
        <v>1</v>
      </c>
      <c r="C4" s="2" t="s">
        <v>2</v>
      </c>
      <c r="D4" s="2" t="s">
        <v>3</v>
      </c>
      <c r="E4" s="7" t="s">
        <v>9</v>
      </c>
    </row>
    <row r="5" spans="1:5" ht="14.65" thickBot="1" x14ac:dyDescent="0.5">
      <c r="A5" s="3">
        <v>0</v>
      </c>
      <c r="B5" s="4">
        <v>-60000</v>
      </c>
      <c r="C5" s="4">
        <v>-40000</v>
      </c>
      <c r="D5" s="4">
        <v>-20000</v>
      </c>
      <c r="E5" s="6">
        <f>B5-C5</f>
        <v>-20000</v>
      </c>
    </row>
    <row r="6" spans="1:5" ht="14.65" thickBot="1" x14ac:dyDescent="0.5">
      <c r="A6" s="3">
        <v>1</v>
      </c>
      <c r="B6" s="4">
        <v>0</v>
      </c>
      <c r="C6" s="4">
        <v>40000</v>
      </c>
      <c r="D6" s="4">
        <v>35000</v>
      </c>
      <c r="E6" s="6">
        <f t="shared" ref="E6:E9" si="0">B6-C6</f>
        <v>-40000</v>
      </c>
    </row>
    <row r="7" spans="1:5" ht="14.65" thickBot="1" x14ac:dyDescent="0.5">
      <c r="A7" s="3">
        <v>2</v>
      </c>
      <c r="B7" s="4">
        <v>82000</v>
      </c>
      <c r="C7" s="4">
        <v>40000</v>
      </c>
      <c r="D7" s="4">
        <v>30000</v>
      </c>
      <c r="E7" s="6">
        <f t="shared" si="0"/>
        <v>42000</v>
      </c>
    </row>
    <row r="8" spans="1:5" ht="14.65" thickBot="1" x14ac:dyDescent="0.5">
      <c r="A8" s="3">
        <v>3</v>
      </c>
      <c r="B8" s="4">
        <v>60000</v>
      </c>
      <c r="C8" s="4">
        <v>20000</v>
      </c>
      <c r="D8" s="4">
        <v>2000</v>
      </c>
      <c r="E8" s="6">
        <f t="shared" si="0"/>
        <v>40000</v>
      </c>
    </row>
    <row r="9" spans="1:5" ht="14.65" thickBot="1" x14ac:dyDescent="0.5">
      <c r="A9" s="3">
        <v>4</v>
      </c>
      <c r="B9" s="4">
        <v>20000</v>
      </c>
      <c r="C9" s="4">
        <v>10000</v>
      </c>
      <c r="D9" s="4">
        <v>-40000</v>
      </c>
      <c r="E9" s="6">
        <f t="shared" si="0"/>
        <v>10000</v>
      </c>
    </row>
    <row r="11" spans="1:5" x14ac:dyDescent="0.45">
      <c r="A11" t="s">
        <v>5</v>
      </c>
      <c r="B11" s="8">
        <f>NPV($C$2,B6:B9)+B5</f>
        <v>60787.074396084936</v>
      </c>
      <c r="C11" s="8">
        <f t="shared" ref="C11" si="1">NPV($C$2,C6:C9)+C5</f>
        <v>48192.826556643049</v>
      </c>
      <c r="D11" s="8">
        <f>NPV($C$2,D6:D9)+D5</f>
        <v>11168.653685964178</v>
      </c>
    </row>
    <row r="12" spans="1:5" x14ac:dyDescent="0.45">
      <c r="A12" t="s">
        <v>6</v>
      </c>
      <c r="B12" s="10">
        <f>IRR(B5:B9)</f>
        <v>0.48113768967447057</v>
      </c>
      <c r="C12" s="10">
        <f>IRR(C5:C9)</f>
        <v>0.76977923045642527</v>
      </c>
      <c r="D12" s="10">
        <f>IRR(D5:D9)</f>
        <v>-8.1889665671578737E-2</v>
      </c>
    </row>
    <row r="13" spans="1:5" x14ac:dyDescent="0.45">
      <c r="A13" t="s">
        <v>7</v>
      </c>
      <c r="D13" s="10">
        <f>IRR(D5:D9,2)</f>
        <v>1.2600304720248849</v>
      </c>
    </row>
    <row r="14" spans="1:5" x14ac:dyDescent="0.45">
      <c r="A14" t="s">
        <v>11</v>
      </c>
      <c r="B14" s="11">
        <f>NPV($C$2,B6:B9)/(-B5)</f>
        <v>2.0131179066014155</v>
      </c>
      <c r="C14" s="11">
        <f>NPV($C$2,C6:C9)/(-C5)</f>
        <v>2.2048206639160761</v>
      </c>
      <c r="D14" s="11">
        <f>NPV($C$2,D6:D8)/(-D5+PV($C$2,A9,,D9))</f>
        <v>1.2458933481194292</v>
      </c>
    </row>
    <row r="15" spans="1:5" x14ac:dyDescent="0.45">
      <c r="A15" t="s">
        <v>8</v>
      </c>
      <c r="B15" s="10">
        <f>MIRR(B5:B9,$C$2,$C$2)</f>
        <v>0.33409060461342577</v>
      </c>
      <c r="C15" s="10">
        <f t="shared" ref="C15:D15" si="2">MIRR(C5:C9,$C$2,$C$2)</f>
        <v>0.36477588564399444</v>
      </c>
      <c r="D15" s="10">
        <f t="shared" si="2"/>
        <v>0.18328194915843188</v>
      </c>
    </row>
    <row r="17" spans="1:10" x14ac:dyDescent="0.45">
      <c r="A17" t="s">
        <v>12</v>
      </c>
      <c r="C17" s="10">
        <f>IRR(E5:E9)</f>
        <v>0.2432500862321767</v>
      </c>
    </row>
    <row r="18" spans="1:10" x14ac:dyDescent="0.45">
      <c r="C18" s="5"/>
    </row>
    <row r="19" spans="1:10" x14ac:dyDescent="0.45">
      <c r="A19" s="9" t="s">
        <v>10</v>
      </c>
      <c r="B19" s="9"/>
      <c r="C19" s="9"/>
      <c r="D19" s="9"/>
      <c r="E19" s="9"/>
      <c r="F19" s="9"/>
      <c r="G19" s="9"/>
      <c r="H19" s="9"/>
      <c r="I19" s="9"/>
      <c r="J19" s="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0C77E-CCC9-4455-8CA9-F497F4B15F6C}">
  <dimension ref="A1:F17"/>
  <sheetViews>
    <sheetView workbookViewId="0">
      <selection activeCell="D27" sqref="D27"/>
    </sheetView>
  </sheetViews>
  <sheetFormatPr defaultRowHeight="14.25" x14ac:dyDescent="0.45"/>
  <cols>
    <col min="2" max="2" width="14.265625" bestFit="1" customWidth="1"/>
    <col min="5" max="5" width="13.265625" bestFit="1" customWidth="1"/>
    <col min="6" max="6" width="11.59765625" bestFit="1" customWidth="1"/>
  </cols>
  <sheetData>
    <row r="1" spans="1:6" ht="14.65" thickBot="1" x14ac:dyDescent="0.5">
      <c r="A1" t="s">
        <v>13</v>
      </c>
      <c r="B1" s="12">
        <v>5000000</v>
      </c>
    </row>
    <row r="2" spans="1:6" ht="40.9" thickBot="1" x14ac:dyDescent="0.5">
      <c r="A2" s="13" t="s">
        <v>14</v>
      </c>
      <c r="B2" s="14" t="s">
        <v>15</v>
      </c>
      <c r="C2" s="14" t="s">
        <v>5</v>
      </c>
      <c r="D2" s="15" t="s">
        <v>16</v>
      </c>
      <c r="E2" s="15" t="s">
        <v>17</v>
      </c>
      <c r="F2" s="15" t="s">
        <v>18</v>
      </c>
    </row>
    <row r="3" spans="1:6" ht="14.65" thickBot="1" x14ac:dyDescent="0.5">
      <c r="A3" s="16" t="s">
        <v>19</v>
      </c>
      <c r="B3" s="17">
        <v>1061191</v>
      </c>
      <c r="C3" s="17">
        <v>122737</v>
      </c>
      <c r="D3">
        <v>1</v>
      </c>
      <c r="E3" s="18">
        <f>B3*D3</f>
        <v>1061191</v>
      </c>
      <c r="F3" s="18">
        <f>C3*D3</f>
        <v>122737</v>
      </c>
    </row>
    <row r="4" spans="1:6" ht="14.65" thickBot="1" x14ac:dyDescent="0.5">
      <c r="A4" s="16" t="s">
        <v>20</v>
      </c>
      <c r="B4" s="17">
        <v>561758</v>
      </c>
      <c r="C4" s="17">
        <v>58102</v>
      </c>
      <c r="D4">
        <v>0</v>
      </c>
      <c r="E4" s="18">
        <f t="shared" ref="E4:E12" si="0">B4*D4</f>
        <v>0</v>
      </c>
      <c r="F4" s="18">
        <f t="shared" ref="F4:F12" si="1">C4*D4</f>
        <v>0</v>
      </c>
    </row>
    <row r="5" spans="1:6" ht="14.65" thickBot="1" x14ac:dyDescent="0.5">
      <c r="A5" s="16" t="s">
        <v>21</v>
      </c>
      <c r="B5" s="17">
        <v>1647849</v>
      </c>
      <c r="C5" s="17">
        <v>280660</v>
      </c>
      <c r="D5">
        <v>1</v>
      </c>
      <c r="E5" s="18">
        <f t="shared" si="0"/>
        <v>1647849</v>
      </c>
      <c r="F5" s="18">
        <f t="shared" si="1"/>
        <v>280660</v>
      </c>
    </row>
    <row r="6" spans="1:6" ht="14.65" thickBot="1" x14ac:dyDescent="0.5">
      <c r="A6" s="16" t="s">
        <v>22</v>
      </c>
      <c r="B6" s="17">
        <v>1026020</v>
      </c>
      <c r="C6" s="17">
        <v>89365</v>
      </c>
      <c r="D6">
        <v>1</v>
      </c>
      <c r="E6" s="18">
        <f t="shared" si="0"/>
        <v>1026020</v>
      </c>
      <c r="F6" s="18">
        <f t="shared" si="1"/>
        <v>89365</v>
      </c>
    </row>
    <row r="7" spans="1:6" ht="14.65" thickBot="1" x14ac:dyDescent="0.5">
      <c r="A7" s="16" t="s">
        <v>23</v>
      </c>
      <c r="B7" s="17">
        <v>191870</v>
      </c>
      <c r="C7" s="17">
        <v>17568</v>
      </c>
      <c r="D7">
        <v>1</v>
      </c>
      <c r="E7" s="18">
        <f t="shared" si="0"/>
        <v>191870</v>
      </c>
      <c r="F7" s="18">
        <f t="shared" si="1"/>
        <v>17568</v>
      </c>
    </row>
    <row r="8" spans="1:6" ht="14.65" thickBot="1" x14ac:dyDescent="0.5">
      <c r="A8" s="16" t="s">
        <v>24</v>
      </c>
      <c r="B8" s="17">
        <v>1333625</v>
      </c>
      <c r="C8" s="17">
        <v>76960</v>
      </c>
      <c r="D8">
        <v>0</v>
      </c>
      <c r="E8" s="18">
        <f t="shared" si="0"/>
        <v>0</v>
      </c>
      <c r="F8" s="18">
        <f t="shared" si="1"/>
        <v>0</v>
      </c>
    </row>
    <row r="9" spans="1:6" ht="14.65" thickBot="1" x14ac:dyDescent="0.5">
      <c r="A9" s="16" t="s">
        <v>25</v>
      </c>
      <c r="B9" s="17">
        <v>3102642</v>
      </c>
      <c r="C9" s="17">
        <v>123240</v>
      </c>
      <c r="D9">
        <v>0</v>
      </c>
      <c r="E9" s="18">
        <f t="shared" si="0"/>
        <v>0</v>
      </c>
      <c r="F9" s="18">
        <f t="shared" si="1"/>
        <v>0</v>
      </c>
    </row>
    <row r="10" spans="1:6" ht="14.65" thickBot="1" x14ac:dyDescent="0.5">
      <c r="A10" s="16" t="s">
        <v>26</v>
      </c>
      <c r="B10" s="17">
        <v>275568</v>
      </c>
      <c r="C10" s="17">
        <v>79367</v>
      </c>
      <c r="D10">
        <v>1</v>
      </c>
      <c r="E10" s="18">
        <f t="shared" si="0"/>
        <v>275568</v>
      </c>
      <c r="F10" s="18">
        <f t="shared" si="1"/>
        <v>79367</v>
      </c>
    </row>
    <row r="11" spans="1:6" ht="14.65" thickBot="1" x14ac:dyDescent="0.5">
      <c r="A11" s="16" t="s">
        <v>27</v>
      </c>
      <c r="B11" s="17">
        <v>2044070</v>
      </c>
      <c r="C11" s="17">
        <v>60506</v>
      </c>
      <c r="D11">
        <v>0</v>
      </c>
      <c r="E11" s="18">
        <f t="shared" si="0"/>
        <v>0</v>
      </c>
      <c r="F11" s="18">
        <f t="shared" si="1"/>
        <v>0</v>
      </c>
    </row>
    <row r="12" spans="1:6" ht="14.65" thickBot="1" x14ac:dyDescent="0.5">
      <c r="A12" s="16" t="s">
        <v>28</v>
      </c>
      <c r="B12" s="17">
        <v>1017567</v>
      </c>
      <c r="C12" s="17">
        <v>56690</v>
      </c>
      <c r="D12">
        <v>0</v>
      </c>
      <c r="E12" s="18">
        <f t="shared" si="0"/>
        <v>0</v>
      </c>
      <c r="F12" s="18">
        <f t="shared" si="1"/>
        <v>0</v>
      </c>
    </row>
    <row r="14" spans="1:6" x14ac:dyDescent="0.45">
      <c r="B14" s="19">
        <f>SUM(B3:B12)</f>
        <v>12262160</v>
      </c>
      <c r="C14" s="19">
        <f t="shared" ref="C14:F14" si="2">SUM(C3:C12)</f>
        <v>965195</v>
      </c>
      <c r="D14" s="19">
        <f t="shared" si="2"/>
        <v>5</v>
      </c>
      <c r="E14" s="19">
        <f t="shared" si="2"/>
        <v>4202498</v>
      </c>
      <c r="F14" s="19">
        <f t="shared" si="2"/>
        <v>589697</v>
      </c>
    </row>
    <row r="16" spans="1:6" x14ac:dyDescent="0.45">
      <c r="A16" t="s">
        <v>29</v>
      </c>
      <c r="B16" t="s">
        <v>30</v>
      </c>
    </row>
    <row r="17" spans="2:2" x14ac:dyDescent="0.45">
      <c r="B17">
        <f>D3+D4</f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7026B-4D4B-4D6A-B594-6F468BC1598A}">
  <dimension ref="A1:F16"/>
  <sheetViews>
    <sheetView tabSelected="1" workbookViewId="0">
      <selection activeCell="C19" sqref="C19"/>
    </sheetView>
  </sheetViews>
  <sheetFormatPr defaultRowHeight="14.25" x14ac:dyDescent="0.45"/>
  <cols>
    <col min="2" max="2" width="14.265625" bestFit="1" customWidth="1"/>
    <col min="5" max="5" width="13.265625" bestFit="1" customWidth="1"/>
    <col min="6" max="6" width="11.59765625" bestFit="1" customWidth="1"/>
  </cols>
  <sheetData>
    <row r="1" spans="1:6" ht="14.65" thickBot="1" x14ac:dyDescent="0.5">
      <c r="A1" t="s">
        <v>13</v>
      </c>
      <c r="B1" s="12">
        <v>5000000</v>
      </c>
    </row>
    <row r="2" spans="1:6" ht="40.9" thickBot="1" x14ac:dyDescent="0.5">
      <c r="A2" s="13" t="s">
        <v>14</v>
      </c>
      <c r="B2" s="14" t="s">
        <v>15</v>
      </c>
      <c r="C2" s="14" t="s">
        <v>5</v>
      </c>
      <c r="D2" s="15" t="s">
        <v>16</v>
      </c>
      <c r="E2" s="15" t="s">
        <v>17</v>
      </c>
      <c r="F2" s="15" t="s">
        <v>18</v>
      </c>
    </row>
    <row r="3" spans="1:6" ht="14.65" thickBot="1" x14ac:dyDescent="0.5">
      <c r="A3" s="16" t="s">
        <v>19</v>
      </c>
      <c r="B3" s="17">
        <v>1061191</v>
      </c>
      <c r="C3" s="17">
        <v>122737</v>
      </c>
      <c r="D3">
        <v>0</v>
      </c>
      <c r="E3" s="18">
        <f>B3*D3</f>
        <v>0</v>
      </c>
      <c r="F3" s="18">
        <f>C3*D3</f>
        <v>0</v>
      </c>
    </row>
    <row r="4" spans="1:6" ht="14.65" thickBot="1" x14ac:dyDescent="0.5">
      <c r="A4" s="16" t="s">
        <v>20</v>
      </c>
      <c r="B4" s="17">
        <v>561758</v>
      </c>
      <c r="C4" s="17">
        <v>58102</v>
      </c>
      <c r="D4">
        <v>0</v>
      </c>
      <c r="E4" s="18">
        <f t="shared" ref="E4:E12" si="0">B4*D4</f>
        <v>0</v>
      </c>
      <c r="F4" s="18">
        <f t="shared" ref="F4:F12" si="1">C4*D4</f>
        <v>0</v>
      </c>
    </row>
    <row r="5" spans="1:6" ht="14.65" thickBot="1" x14ac:dyDescent="0.5">
      <c r="A5" s="16" t="s">
        <v>21</v>
      </c>
      <c r="B5" s="17">
        <v>1647849</v>
      </c>
      <c r="C5" s="17">
        <v>280660</v>
      </c>
      <c r="D5">
        <v>1</v>
      </c>
      <c r="E5" s="18">
        <f t="shared" si="0"/>
        <v>1647849</v>
      </c>
      <c r="F5" s="18">
        <f t="shared" si="1"/>
        <v>280660</v>
      </c>
    </row>
    <row r="6" spans="1:6" ht="14.65" thickBot="1" x14ac:dyDescent="0.5">
      <c r="A6" s="16" t="s">
        <v>22</v>
      </c>
      <c r="B6" s="17">
        <v>1026020</v>
      </c>
      <c r="C6" s="17">
        <v>89365</v>
      </c>
      <c r="D6">
        <v>1</v>
      </c>
      <c r="E6" s="18">
        <f t="shared" si="0"/>
        <v>1026020</v>
      </c>
      <c r="F6" s="18">
        <f t="shared" si="1"/>
        <v>89365</v>
      </c>
    </row>
    <row r="7" spans="1:6" ht="14.65" thickBot="1" x14ac:dyDescent="0.5">
      <c r="A7" s="16" t="s">
        <v>23</v>
      </c>
      <c r="B7" s="17">
        <v>191870</v>
      </c>
      <c r="C7" s="17">
        <v>17568</v>
      </c>
      <c r="D7">
        <v>0</v>
      </c>
      <c r="E7" s="18">
        <f t="shared" si="0"/>
        <v>0</v>
      </c>
      <c r="F7" s="18">
        <f t="shared" si="1"/>
        <v>0</v>
      </c>
    </row>
    <row r="8" spans="1:6" ht="14.65" thickBot="1" x14ac:dyDescent="0.5">
      <c r="A8" s="16" t="s">
        <v>24</v>
      </c>
      <c r="B8" s="17">
        <v>1333625</v>
      </c>
      <c r="C8" s="17">
        <v>76960</v>
      </c>
      <c r="D8">
        <v>0</v>
      </c>
      <c r="E8" s="18">
        <f t="shared" si="0"/>
        <v>0</v>
      </c>
      <c r="F8" s="18">
        <f t="shared" si="1"/>
        <v>0</v>
      </c>
    </row>
    <row r="9" spans="1:6" ht="14.65" thickBot="1" x14ac:dyDescent="0.5">
      <c r="A9" s="16" t="s">
        <v>25</v>
      </c>
      <c r="B9" s="17">
        <v>3102642</v>
      </c>
      <c r="C9" s="17">
        <v>123240</v>
      </c>
      <c r="D9">
        <v>0</v>
      </c>
      <c r="E9" s="18">
        <f t="shared" si="0"/>
        <v>0</v>
      </c>
      <c r="F9" s="18">
        <f t="shared" si="1"/>
        <v>0</v>
      </c>
    </row>
    <row r="10" spans="1:6" ht="14.65" thickBot="1" x14ac:dyDescent="0.5">
      <c r="A10" s="16" t="s">
        <v>26</v>
      </c>
      <c r="B10" s="17">
        <v>275568</v>
      </c>
      <c r="C10" s="17">
        <v>79367</v>
      </c>
      <c r="D10">
        <v>1</v>
      </c>
      <c r="E10" s="18">
        <f t="shared" si="0"/>
        <v>275568</v>
      </c>
      <c r="F10" s="18">
        <f t="shared" si="1"/>
        <v>79367</v>
      </c>
    </row>
    <row r="11" spans="1:6" ht="14.65" thickBot="1" x14ac:dyDescent="0.5">
      <c r="A11" s="16" t="s">
        <v>27</v>
      </c>
      <c r="B11" s="17">
        <v>2044070</v>
      </c>
      <c r="C11" s="17">
        <v>60506</v>
      </c>
      <c r="D11">
        <v>1</v>
      </c>
      <c r="E11" s="18">
        <f t="shared" si="0"/>
        <v>2044070</v>
      </c>
      <c r="F11" s="18">
        <f t="shared" si="1"/>
        <v>60506</v>
      </c>
    </row>
    <row r="12" spans="1:6" ht="14.65" thickBot="1" x14ac:dyDescent="0.5">
      <c r="A12" s="16" t="s">
        <v>28</v>
      </c>
      <c r="B12" s="17">
        <v>1017567</v>
      </c>
      <c r="C12" s="17">
        <v>56690</v>
      </c>
      <c r="D12">
        <v>0</v>
      </c>
      <c r="E12" s="18">
        <f t="shared" si="0"/>
        <v>0</v>
      </c>
      <c r="F12" s="18">
        <f t="shared" si="1"/>
        <v>0</v>
      </c>
    </row>
    <row r="14" spans="1:6" x14ac:dyDescent="0.45">
      <c r="B14" s="19">
        <f>SUM(B3:B12)</f>
        <v>12262160</v>
      </c>
      <c r="C14" s="19">
        <f t="shared" ref="C14:F14" si="2">SUM(C3:C12)</f>
        <v>965195</v>
      </c>
      <c r="D14" s="19">
        <f t="shared" si="2"/>
        <v>4</v>
      </c>
      <c r="E14" s="19">
        <f t="shared" si="2"/>
        <v>4993507</v>
      </c>
      <c r="F14" s="19">
        <f t="shared" si="2"/>
        <v>509898</v>
      </c>
    </row>
    <row r="16" spans="1:6" x14ac:dyDescent="0.45">
      <c r="A16" t="s">
        <v>31</v>
      </c>
      <c r="B16" t="s">
        <v>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Q1</vt:lpstr>
      <vt:lpstr>Q2(a)</vt:lpstr>
      <vt:lpstr>Q2(b)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Dupinder</dc:creator>
  <cp:lastModifiedBy>Kaur, Dupinderjeet</cp:lastModifiedBy>
  <dcterms:created xsi:type="dcterms:W3CDTF">2018-02-21T20:50:56Z</dcterms:created>
  <dcterms:modified xsi:type="dcterms:W3CDTF">2025-10-10T15:28:27Z</dcterms:modified>
</cp:coreProperties>
</file>