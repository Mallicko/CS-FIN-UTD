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90\"/>
    </mc:Choice>
  </mc:AlternateContent>
  <xr:revisionPtr revIDLastSave="0" documentId="8_{7EDF06F4-6B28-49B5-92C5-B9160DB57D06}" xr6:coauthVersionLast="47" xr6:coauthVersionMax="47" xr10:uidLastSave="{00000000-0000-0000-0000-000000000000}"/>
  <bookViews>
    <workbookView xWindow="-78" yWindow="0" windowWidth="15660" windowHeight="12318" xr2:uid="{D08B66ED-CF0D-44D6-A8E2-A85CA13E9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C49" i="1"/>
  <c r="C48" i="1"/>
  <c r="F45" i="1"/>
  <c r="F44" i="1"/>
  <c r="G39" i="1"/>
  <c r="H39" i="1"/>
  <c r="I39" i="1"/>
  <c r="J39" i="1"/>
  <c r="K39" i="1"/>
  <c r="F39" i="1"/>
  <c r="I38" i="1"/>
  <c r="G38" i="1"/>
  <c r="H38" i="1"/>
  <c r="F38" i="1"/>
  <c r="J38" i="1"/>
  <c r="K38" i="1"/>
  <c r="L38" i="1"/>
  <c r="M38" i="1"/>
  <c r="H37" i="1"/>
  <c r="I37" i="1"/>
  <c r="J37" i="1" s="1"/>
  <c r="K37" i="1" s="1"/>
  <c r="L37" i="1" s="1"/>
  <c r="G37" i="1"/>
  <c r="M28" i="1"/>
  <c r="J33" i="1"/>
  <c r="J31" i="1"/>
  <c r="J30" i="1"/>
  <c r="L28" i="1"/>
  <c r="N28" i="1"/>
  <c r="O28" i="1"/>
  <c r="P28" i="1" s="1"/>
  <c r="Q28" i="1" s="1"/>
  <c r="R28" i="1" s="1"/>
  <c r="K28" i="1"/>
  <c r="J28" i="1"/>
  <c r="L39" i="1" l="1"/>
  <c r="M37" i="1"/>
  <c r="M39" i="1" l="1"/>
  <c r="C41" i="1"/>
  <c r="C42" i="1" s="1"/>
  <c r="F41" i="1" s="1"/>
</calcChain>
</file>

<file path=xl/sharedStrings.xml><?xml version="1.0" encoding="utf-8"?>
<sst xmlns="http://schemas.openxmlformats.org/spreadsheetml/2006/main" count="39" uniqueCount="34">
  <si>
    <t>q1</t>
  </si>
  <si>
    <t>D0</t>
  </si>
  <si>
    <t>k</t>
  </si>
  <si>
    <t>1--2</t>
  </si>
  <si>
    <t>3--4</t>
  </si>
  <si>
    <t>5--7</t>
  </si>
  <si>
    <t>8+</t>
  </si>
  <si>
    <t>a)</t>
  </si>
  <si>
    <t>Year</t>
  </si>
  <si>
    <t>g(t)</t>
  </si>
  <si>
    <t>D(t)</t>
  </si>
  <si>
    <t>b)</t>
  </si>
  <si>
    <t>p7</t>
  </si>
  <si>
    <t>pv(p7)</t>
  </si>
  <si>
    <t>c)</t>
  </si>
  <si>
    <t>P0</t>
  </si>
  <si>
    <t>q2</t>
  </si>
  <si>
    <t>PV(k)</t>
  </si>
  <si>
    <t>PV(D(t))</t>
  </si>
  <si>
    <t>p9</t>
  </si>
  <si>
    <t>pv(p9)</t>
  </si>
  <si>
    <t>p0</t>
  </si>
  <si>
    <t>q3</t>
  </si>
  <si>
    <t>d0</t>
  </si>
  <si>
    <t>g</t>
  </si>
  <si>
    <t>r</t>
  </si>
  <si>
    <t>D1</t>
  </si>
  <si>
    <t>q4</t>
  </si>
  <si>
    <t>r_CAPM</t>
  </si>
  <si>
    <t>r_DDM</t>
  </si>
  <si>
    <t>P_EP</t>
  </si>
  <si>
    <t>&lt;</t>
  </si>
  <si>
    <t>p_EP</t>
  </si>
  <si>
    <t>Underprised --&gt;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</si>
</sst>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000%"/>
    <numFmt numFmtId="165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0" fillId="0" borderId="0" xfId="0" applyNumberFormat="1"/>
    <xf numFmtId="0" fontId="0" fillId="2" borderId="0" xfId="0" applyFill="1"/>
    <xf numFmtId="8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580025</xdr:colOff>
      <xdr:row>24</xdr:row>
      <xdr:rowOff>88018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A7872C-02F3-BFEA-EA8A-6E5AF3C3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40305" cy="44771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FAB0-55FA-4A12-84FA-33DDD3D84C00}">
  <dimension ref="A26:R50"/>
  <sheetViews>
    <sheetView tabSelected="1" zoomScale="82" workbookViewId="0">
      <selection activeCell="K38" sqref="K38"/>
    </sheetView>
  </sheetViews>
  <sheetFormatPr defaultRowHeight="14.4" x14ac:dyDescent="0.55000000000000004"/>
  <cols>
    <col min="3" max="3" width="10.68359375" bestFit="1" customWidth="1"/>
    <col min="6" max="6" width="10.68359375" bestFit="1" customWidth="1"/>
  </cols>
  <sheetData>
    <row r="26" spans="1:18" x14ac:dyDescent="0.55000000000000004">
      <c r="A26" t="s">
        <v>0</v>
      </c>
      <c r="B26" t="s">
        <v>1</v>
      </c>
      <c r="C26">
        <v>2.1</v>
      </c>
      <c r="E26" t="s">
        <v>3</v>
      </c>
      <c r="F26" s="1">
        <v>0</v>
      </c>
      <c r="H26" t="s">
        <v>7</v>
      </c>
      <c r="I26" t="s">
        <v>8</v>
      </c>
      <c r="J26">
        <v>0</v>
      </c>
      <c r="K26">
        <v>1</v>
      </c>
      <c r="L26">
        <v>2</v>
      </c>
      <c r="M26">
        <v>3</v>
      </c>
      <c r="N26">
        <v>4</v>
      </c>
      <c r="O26">
        <v>5</v>
      </c>
      <c r="P26">
        <v>6</v>
      </c>
      <c r="Q26">
        <v>7</v>
      </c>
      <c r="R26">
        <v>8</v>
      </c>
    </row>
    <row r="27" spans="1:18" x14ac:dyDescent="0.55000000000000004">
      <c r="B27" t="s">
        <v>2</v>
      </c>
      <c r="C27" s="1">
        <v>0.14000000000000001</v>
      </c>
      <c r="E27" t="s">
        <v>4</v>
      </c>
      <c r="F27" s="1">
        <v>0.18</v>
      </c>
      <c r="I27" t="s">
        <v>9</v>
      </c>
      <c r="K27" s="1">
        <v>0</v>
      </c>
      <c r="L27" s="1">
        <v>0</v>
      </c>
      <c r="M27" s="1">
        <v>0.18</v>
      </c>
      <c r="N27" s="1">
        <v>0.18</v>
      </c>
      <c r="O27" s="1">
        <v>0.12</v>
      </c>
      <c r="P27" s="1">
        <v>0.12</v>
      </c>
      <c r="Q27" s="1">
        <v>0.12</v>
      </c>
      <c r="R27" s="1">
        <v>0.05</v>
      </c>
    </row>
    <row r="28" spans="1:18" x14ac:dyDescent="0.55000000000000004">
      <c r="E28" t="s">
        <v>5</v>
      </c>
      <c r="F28" s="1">
        <v>0.12</v>
      </c>
      <c r="I28" t="s">
        <v>10</v>
      </c>
      <c r="J28">
        <f>C26</f>
        <v>2.1</v>
      </c>
      <c r="K28">
        <f>J28*(1+K27)</f>
        <v>2.1</v>
      </c>
      <c r="L28">
        <f t="shared" ref="L28:R28" si="0">K28*(1+L27)</f>
        <v>2.1</v>
      </c>
      <c r="M28">
        <f>L28*(1+M27)</f>
        <v>2.4779999999999998</v>
      </c>
      <c r="N28">
        <f t="shared" si="0"/>
        <v>2.9240399999999998</v>
      </c>
      <c r="O28" s="2">
        <f t="shared" si="0"/>
        <v>3.2749248</v>
      </c>
      <c r="P28">
        <f t="shared" si="0"/>
        <v>3.6679157760000005</v>
      </c>
      <c r="Q28">
        <f t="shared" si="0"/>
        <v>4.108065669120001</v>
      </c>
      <c r="R28">
        <f t="shared" si="0"/>
        <v>4.3134689525760015</v>
      </c>
    </row>
    <row r="29" spans="1:18" x14ac:dyDescent="0.55000000000000004">
      <c r="E29" t="s">
        <v>6</v>
      </c>
      <c r="F29" s="1">
        <v>0.05</v>
      </c>
    </row>
    <row r="30" spans="1:18" x14ac:dyDescent="0.55000000000000004">
      <c r="H30" t="s">
        <v>11</v>
      </c>
      <c r="I30" t="s">
        <v>12</v>
      </c>
      <c r="J30">
        <f>R28/(C27-R27)</f>
        <v>47.927432806400013</v>
      </c>
    </row>
    <row r="31" spans="1:18" x14ac:dyDescent="0.55000000000000004">
      <c r="I31" t="s">
        <v>13</v>
      </c>
      <c r="J31" s="3">
        <f>PV(C27, 7, 0, -J30)</f>
        <v>19.153590922479808</v>
      </c>
    </row>
    <row r="33" spans="1:13" x14ac:dyDescent="0.55000000000000004">
      <c r="H33" t="s">
        <v>14</v>
      </c>
      <c r="I33" t="s">
        <v>15</v>
      </c>
      <c r="J33" s="3">
        <f>SUM(K28:R28) + J31</f>
        <v>44.120006120175816</v>
      </c>
    </row>
    <row r="35" spans="1:13" x14ac:dyDescent="0.55000000000000004">
      <c r="A35" t="s">
        <v>16</v>
      </c>
      <c r="B35" t="s">
        <v>8</v>
      </c>
      <c r="C35">
        <v>0</v>
      </c>
      <c r="D35">
        <v>1</v>
      </c>
      <c r="E35">
        <v>2</v>
      </c>
      <c r="F35">
        <v>3</v>
      </c>
      <c r="G35">
        <v>4</v>
      </c>
      <c r="H35">
        <v>5</v>
      </c>
      <c r="I35">
        <v>6</v>
      </c>
      <c r="J35">
        <v>7</v>
      </c>
      <c r="K35">
        <v>8</v>
      </c>
      <c r="L35">
        <v>9</v>
      </c>
      <c r="M35">
        <v>10</v>
      </c>
    </row>
    <row r="36" spans="1:13" x14ac:dyDescent="0.55000000000000004">
      <c r="B36" t="s">
        <v>9</v>
      </c>
      <c r="F36" s="1">
        <v>0</v>
      </c>
      <c r="G36" s="1">
        <v>0.04</v>
      </c>
      <c r="H36" s="1">
        <v>0.04</v>
      </c>
      <c r="I36" s="1">
        <v>0.04</v>
      </c>
      <c r="J36" s="1">
        <v>0.15</v>
      </c>
      <c r="K36" s="1">
        <v>0.15</v>
      </c>
      <c r="L36" s="1">
        <v>0.15</v>
      </c>
      <c r="M36" s="1">
        <v>0.06</v>
      </c>
    </row>
    <row r="37" spans="1:13" x14ac:dyDescent="0.55000000000000004">
      <c r="B37" t="s">
        <v>10</v>
      </c>
      <c r="C37">
        <v>0</v>
      </c>
      <c r="D37">
        <v>0</v>
      </c>
      <c r="E37">
        <v>0</v>
      </c>
      <c r="F37">
        <v>2</v>
      </c>
      <c r="G37">
        <f>F37*(1+G36)</f>
        <v>2.08</v>
      </c>
      <c r="H37">
        <f t="shared" ref="H37:M37" si="1">G37*(1+H36)</f>
        <v>2.1632000000000002</v>
      </c>
      <c r="I37">
        <f t="shared" si="1"/>
        <v>2.2497280000000002</v>
      </c>
      <c r="J37">
        <f t="shared" si="1"/>
        <v>2.5871871999999998</v>
      </c>
      <c r="K37">
        <f t="shared" si="1"/>
        <v>2.9752652799999995</v>
      </c>
      <c r="L37">
        <f t="shared" si="1"/>
        <v>3.421555071999999</v>
      </c>
      <c r="M37">
        <f>L37*(1+M36)</f>
        <v>3.626848376319999</v>
      </c>
    </row>
    <row r="38" spans="1:13" x14ac:dyDescent="0.55000000000000004">
      <c r="B38" t="s">
        <v>17</v>
      </c>
      <c r="F38">
        <f>1/(1+9%)^F36</f>
        <v>1</v>
      </c>
      <c r="G38">
        <f>1/(1+9%)^G36</f>
        <v>0.99655882660576045</v>
      </c>
      <c r="H38">
        <f>1/(1+9%)^H36</f>
        <v>0.99655882660576045</v>
      </c>
      <c r="I38">
        <f>1/(1+9%)^I36</f>
        <v>0.99655882660576045</v>
      </c>
      <c r="J38">
        <f t="shared" ref="G38:M38" si="2">1/(1+9%)^J36</f>
        <v>0.98715653591784025</v>
      </c>
      <c r="K38">
        <f t="shared" si="2"/>
        <v>0.98715653591784025</v>
      </c>
      <c r="L38">
        <f t="shared" si="2"/>
        <v>0.98715653591784025</v>
      </c>
      <c r="M38">
        <f t="shared" si="2"/>
        <v>0.99484268308663482</v>
      </c>
    </row>
    <row r="39" spans="1:13" x14ac:dyDescent="0.55000000000000004">
      <c r="B39" t="s">
        <v>18</v>
      </c>
      <c r="F39">
        <f>F37*F38</f>
        <v>2</v>
      </c>
      <c r="G39">
        <f t="shared" ref="G39:M39" si="3">G37*G38</f>
        <v>2.0728423593399818</v>
      </c>
      <c r="H39">
        <f t="shared" si="3"/>
        <v>2.1557560537135814</v>
      </c>
      <c r="I39">
        <f t="shared" si="3"/>
        <v>2.2419862958621244</v>
      </c>
      <c r="J39">
        <f t="shared" si="3"/>
        <v>2.5539587541229762</v>
      </c>
      <c r="K39">
        <f t="shared" si="3"/>
        <v>2.9370525672414223</v>
      </c>
      <c r="L39">
        <f t="shared" si="3"/>
        <v>3.3776104523276356</v>
      </c>
      <c r="M39">
        <f t="shared" si="3"/>
        <v>3.6081435698465927</v>
      </c>
    </row>
    <row r="41" spans="1:13" x14ac:dyDescent="0.55000000000000004">
      <c r="B41" t="s">
        <v>19</v>
      </c>
      <c r="C41">
        <f>M37/(9%-6%)</f>
        <v>120.8949458773333</v>
      </c>
      <c r="E41" t="s">
        <v>21</v>
      </c>
      <c r="F41" s="3">
        <f>SUM(F37:L37)+C42</f>
        <v>73.14032703704396</v>
      </c>
    </row>
    <row r="42" spans="1:13" x14ac:dyDescent="0.55000000000000004">
      <c r="B42" t="s">
        <v>20</v>
      </c>
      <c r="C42" s="3">
        <f>PV(9%, 9, 0, -C41)</f>
        <v>55.66339148504396</v>
      </c>
    </row>
    <row r="44" spans="1:13" x14ac:dyDescent="0.55000000000000004">
      <c r="A44" t="s">
        <v>22</v>
      </c>
      <c r="B44" t="s">
        <v>21</v>
      </c>
      <c r="C44">
        <v>8</v>
      </c>
      <c r="E44" t="s">
        <v>26</v>
      </c>
      <c r="F44">
        <f>C45*(1+C46)</f>
        <v>1.5449999999999999</v>
      </c>
    </row>
    <row r="45" spans="1:13" x14ac:dyDescent="0.55000000000000004">
      <c r="B45" t="s">
        <v>23</v>
      </c>
      <c r="C45">
        <v>1.5</v>
      </c>
      <c r="E45" t="s">
        <v>25</v>
      </c>
      <c r="F45" s="4">
        <f>(F44/C44)+C46</f>
        <v>0.22312499999999999</v>
      </c>
    </row>
    <row r="46" spans="1:13" x14ac:dyDescent="0.55000000000000004">
      <c r="B46" t="s">
        <v>24</v>
      </c>
      <c r="C46" s="1">
        <v>0.03</v>
      </c>
    </row>
    <row r="48" spans="1:13" x14ac:dyDescent="0.55000000000000004">
      <c r="A48" t="s">
        <v>27</v>
      </c>
      <c r="B48" t="s">
        <v>28</v>
      </c>
      <c r="C48" s="5">
        <f>2.5%+2*(8%-2.5%)</f>
        <v>0.13500000000000001</v>
      </c>
      <c r="E48" t="s">
        <v>21</v>
      </c>
      <c r="F48" t="s">
        <v>31</v>
      </c>
      <c r="G48" t="s">
        <v>32</v>
      </c>
    </row>
    <row r="49" spans="2:6" x14ac:dyDescent="0.55000000000000004">
      <c r="B49" t="s">
        <v>29</v>
      </c>
      <c r="C49" s="4">
        <f>F45</f>
        <v>0.22312499999999999</v>
      </c>
      <c r="E49" s="2" t="s">
        <v>33</v>
      </c>
      <c r="F49" s="2"/>
    </row>
    <row r="50" spans="2:6" x14ac:dyDescent="0.55000000000000004">
      <c r="B50" t="s">
        <v>30</v>
      </c>
      <c r="C50">
        <f>F44/(C48-C46)</f>
        <v>14.714285714285712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2025-11-11T23:36:24Z</dcterms:created>
  <dcterms:modified xsi:type="dcterms:W3CDTF">2025-11-12T02:25:22Z</dcterms:modified>
</cp:coreProperties>
</file>